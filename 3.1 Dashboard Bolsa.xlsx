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409A3A15-EBA3-40E2-9034-73F7FD4136C8}" xr6:coauthVersionLast="47" xr6:coauthVersionMax="47" xr10:uidLastSave="{00000000-0000-0000-0000-000000000000}"/>
  <bookViews>
    <workbookView xWindow="-120" yWindow="-120" windowWidth="29040" windowHeight="15720" tabRatio="754" activeTab="3" xr2:uid="{00000000-000D-0000-FFFF-FFFF00000000}"/>
  </bookViews>
  <sheets>
    <sheet name="Panel" sheetId="1" r:id="rId1"/>
    <sheet name="I91c" sheetId="2" r:id="rId2"/>
    <sheet name="I9B1a" sheetId="3" r:id="rId3"/>
    <sheet name="Cálculos" sheetId="7" r:id="rId4"/>
  </sheets>
  <externalReferences>
    <externalReference r:id="rId5"/>
  </externalReferences>
  <definedNames>
    <definedName name="ActivosTotales" localSheetId="3">Cálculos!$B$9</definedName>
    <definedName name="ActivosTotales">#REF!</definedName>
    <definedName name="_xlnm.Print_Area" localSheetId="3">Cálculos!$A$1:$I$20</definedName>
    <definedName name="_xlnm.Print_Area" localSheetId="0">Panel!$A$1:$H$27</definedName>
    <definedName name="Imprimir_Área" localSheetId="0">[1]Dashboard!$A$1:$H$19</definedName>
    <definedName name="PasivosTotales" localSheetId="3">tblNoAsegurado[[#Totals],[Tope]]</definedName>
    <definedName name="PasivosTotales">tblNoAsegurado[[#Totals],[Tope]]</definedName>
    <definedName name="PatrimonioNeto" localSheetId="3">Cálculos!$B$9</definedName>
    <definedName name="PatrimonioNeto">#REF!</definedName>
    <definedName name="TopeI91c">Bolsatope[[#Totals],[Tope]]</definedName>
    <definedName name="TopeI9B1a">tblNoAsegurado[[#Totals],[Tope]]</definedName>
  </definedNames>
  <calcPr calcId="191029"/>
  <pivotCaches>
    <pivotCache cacheId="4" r:id="rId6"/>
    <pivotCache cacheId="13" r:id="rId7"/>
  </pivotCaches>
  <extLst>
    <ext xmlns:x15="http://schemas.microsoft.com/office/spreadsheetml/2010/11/main" uri="{FCE2AD5D-F65C-4FA6-A056-5C36A1767C68}">
      <x15:dataModel>
        <x15:modelTables>
          <x15:modelTable id="Datos_3b96e006-27d0-41f7-9965-cc15e04e425a" name="Datos" connection="Consulta - Dat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L5" i="2"/>
  <c r="L6" i="2"/>
  <c r="L7" i="2"/>
  <c r="L8" i="2"/>
  <c r="L9" i="2"/>
  <c r="L10" i="2"/>
  <c r="L11" i="2"/>
  <c r="J5" i="2"/>
  <c r="J6" i="2"/>
  <c r="J7" i="2"/>
  <c r="J8" i="2"/>
  <c r="J9" i="2"/>
  <c r="J10" i="2"/>
  <c r="J11" i="2"/>
  <c r="I5" i="3"/>
  <c r="I7" i="3"/>
  <c r="I8" i="3"/>
  <c r="I9" i="3"/>
  <c r="I10" i="3"/>
  <c r="I11" i="3"/>
  <c r="B20" i="7"/>
  <c r="B11" i="1"/>
  <c r="J11" i="3" l="1"/>
  <c r="J10" i="3"/>
  <c r="J9" i="3"/>
  <c r="J8" i="3"/>
  <c r="J7" i="3"/>
  <c r="J6" i="3"/>
  <c r="J5" i="3"/>
  <c r="K11" i="2"/>
  <c r="K8" i="2"/>
  <c r="K7" i="2"/>
  <c r="K9" i="2"/>
  <c r="K6" i="2"/>
  <c r="K5" i="2"/>
  <c r="K10" i="2"/>
  <c r="L12" i="2" l="1"/>
  <c r="J12" i="3"/>
  <c r="K12" i="2"/>
  <c r="J12" i="2" l="1"/>
  <c r="E12" i="2"/>
  <c r="B12" i="2" l="1" a="1"/>
  <c r="B12" i="2" s="1"/>
  <c r="D11" i="1" a="1"/>
  <c r="D11" i="1" s="1"/>
  <c r="I12" i="3"/>
  <c r="E12" i="3"/>
  <c r="B12" i="3" l="1" a="1"/>
  <c r="B12" i="3" s="1"/>
  <c r="G11" i="1" a="1"/>
  <c r="G1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809326-17D6-4737-9911-775B763B3F86}" interval="60" name="Consulta - Datos" description="Conexión a la consulta 'Datos' en el libro." type="100" refreshedVersion="8" minRefreshableVersion="5" refreshOnLoad="1" saveData="1">
    <extLst>
      <ext xmlns:x15="http://schemas.microsoft.com/office/spreadsheetml/2010/11/main" uri="{DE250136-89BD-433C-8126-D09CA5730AF9}">
        <x15:connection id="ff35e611-250d-442c-82f0-c9821f5407bf"/>
      </ext>
    </extLst>
  </connection>
  <connection id="2" xr16:uid="{51C464EB-184A-4EF2-996A-B88EB800B121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Datos].[T.Nombrto].&amp;[N91a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<sst xmlns="http://schemas.openxmlformats.org/spreadsheetml/2006/main" count="118" uniqueCount="40">
  <si>
    <t>SUBTOTAL</t>
  </si>
  <si>
    <t xml:space="preserve"> </t>
  </si>
  <si>
    <t>ACTIVOS TOTALES</t>
  </si>
  <si>
    <t>PANEL</t>
  </si>
  <si>
    <t>RESUMEN DE LA BOLSA NETO</t>
  </si>
  <si>
    <t>BOLSA NETO</t>
  </si>
  <si>
    <t>T.Nombrto</t>
  </si>
  <si>
    <t>DIRECCIÓN DE ENFERMERÍA</t>
  </si>
  <si>
    <t>N91a</t>
  </si>
  <si>
    <t>DIRECCIÓN DE RR.HH.</t>
  </si>
  <si>
    <t>DIRECCIÓN MÉDICA</t>
  </si>
  <si>
    <t>Dirección Planificación y Gestión RREE</t>
  </si>
  <si>
    <t>Dirección Servicios Generales</t>
  </si>
  <si>
    <t>GERENCIA</t>
  </si>
  <si>
    <t>Tope</t>
  </si>
  <si>
    <t>Usados</t>
  </si>
  <si>
    <t>Gerencia</t>
  </si>
  <si>
    <t>Dirección Médica</t>
  </si>
  <si>
    <t>Dirección Enfermería</t>
  </si>
  <si>
    <t>Dirección RRHH</t>
  </si>
  <si>
    <t xml:space="preserve">Bolsa </t>
  </si>
  <si>
    <t>Etiquetas de fila</t>
  </si>
  <si>
    <t>Total general</t>
  </si>
  <si>
    <t>Suma de Días</t>
  </si>
  <si>
    <t>Resto</t>
  </si>
  <si>
    <t>Necesidad</t>
  </si>
  <si>
    <t>Suma de Necesidad</t>
  </si>
  <si>
    <t>BOLSA I9B1a</t>
  </si>
  <si>
    <t>BOLSA I91c</t>
  </si>
  <si>
    <t>Bolsa I91c</t>
  </si>
  <si>
    <t>Dirección Ingeneria, Infraestrutura y Tecn.</t>
  </si>
  <si>
    <t>I91b</t>
  </si>
  <si>
    <t>I91c</t>
  </si>
  <si>
    <t>I9B1a</t>
  </si>
  <si>
    <t>I9B1b</t>
  </si>
  <si>
    <t>I9B1c</t>
  </si>
  <si>
    <t>Bolsa I9B1a</t>
  </si>
  <si>
    <t>DIRECCIÓN DE INGENIERÍA, INFRAESTRUCTURAS Y TEC.</t>
  </si>
  <si>
    <t>DIRECCIÓN DE PLANIFIFCACIÓN Y GESTIÓN DE RR.EE.</t>
  </si>
  <si>
    <t>DIRECCIÓN DE SERVICIOS GENERALES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</si>
</sst>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[$€-C0A]"/>
    <numFmt numFmtId="165" formatCode="#,##0_ ;[Red]\-#,##0\ "/>
  </numFmts>
  <fonts count="25" x14ac:knownFonts="1">
    <font>
      <sz val="9"/>
      <color theme="1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16"/>
      <color theme="1"/>
      <name val="Franklin Gothic Medium"/>
      <family val="2"/>
      <scheme val="minor"/>
    </font>
    <font>
      <sz val="24"/>
      <color theme="1"/>
      <name val="Franklin Gothic Medium"/>
      <family val="2"/>
      <scheme val="minor"/>
    </font>
    <font>
      <sz val="34"/>
      <color theme="1"/>
      <name val="Franklin Gothic Medium"/>
      <family val="2"/>
      <scheme val="minor"/>
    </font>
    <font>
      <sz val="45"/>
      <color theme="1"/>
      <name val="Franklin Gothic Medium"/>
      <family val="2"/>
      <scheme val="minor"/>
    </font>
    <font>
      <sz val="13"/>
      <color theme="1"/>
      <name val="Franklin Gothic Medium"/>
      <family val="2"/>
      <scheme val="minor"/>
    </font>
    <font>
      <sz val="16"/>
      <color theme="1"/>
      <name val="Franklin Gothic Medium"/>
      <family val="2"/>
      <scheme val="major"/>
    </font>
    <font>
      <sz val="36"/>
      <color theme="1"/>
      <name val="Franklin Gothic Medium"/>
      <family val="2"/>
      <scheme val="major"/>
    </font>
    <font>
      <sz val="28"/>
      <color theme="1"/>
      <name val="Franklin Gothic Medium"/>
      <family val="2"/>
      <scheme val="major"/>
    </font>
    <font>
      <sz val="26"/>
      <color theme="3"/>
      <name val="Franklin Gothic Medium"/>
      <family val="2"/>
      <scheme val="major"/>
    </font>
    <font>
      <sz val="14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24"/>
      <color theme="3"/>
      <name val="Franklin Gothic Medium"/>
      <family val="2"/>
      <scheme val="major"/>
    </font>
    <font>
      <sz val="9"/>
      <color theme="1"/>
      <name val="Franklin Gothic Medium"/>
      <family val="2"/>
      <scheme val="minor"/>
    </font>
    <font>
      <b/>
      <i/>
      <strike/>
      <condense/>
      <extend/>
      <outline/>
      <shadow/>
      <sz val="9"/>
      <color theme="1"/>
      <name val="Franklin Gothic Medium"/>
      <family val="2"/>
      <scheme val="minor"/>
    </font>
    <font>
      <b/>
      <i/>
      <strike/>
      <condense/>
      <extend/>
      <outline/>
      <shadow/>
      <sz val="9"/>
      <color theme="1"/>
      <name val="Franklin Gothic Medium"/>
      <family val="2"/>
      <scheme val="minor"/>
    </font>
    <font>
      <condense/>
      <extend/>
      <outline/>
      <shadow/>
      <sz val="9"/>
      <color theme="1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0"/>
      <name val="Arial"/>
      <family val="2"/>
    </font>
    <font>
      <sz val="9"/>
      <color rgb="FFFF0000"/>
      <name val="Franklin Gothic Medium"/>
      <family val="2"/>
      <scheme val="minor"/>
    </font>
    <font>
      <sz val="14"/>
      <color rgb="FF808080"/>
      <name val="Franklin Gothic Medium"/>
      <family val="2"/>
      <scheme val="minor"/>
    </font>
    <font>
      <sz val="9"/>
      <name val="Franklin Gothic Medium"/>
      <family val="2"/>
      <scheme val="minor"/>
    </font>
    <font>
      <b/>
      <sz val="11"/>
      <name val="Franklin Gothic Medium"/>
      <family val="2"/>
      <scheme val="minor"/>
    </font>
    <font>
      <sz val="9"/>
      <color rgb="FF00B050"/>
      <name val="Franklin Gothic Medium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</fills>
  <borders count="14">
    <border>
      <left/>
      <right/>
      <top/>
      <bottom/>
      <diagonal/>
    </border>
    <border>
      <left style="mediumDashed">
        <color theme="7"/>
      </left>
      <right/>
      <top/>
      <bottom/>
      <diagonal/>
    </border>
    <border>
      <left/>
      <right/>
      <top/>
      <bottom style="thick">
        <color theme="7"/>
      </bottom>
      <diagonal/>
    </border>
    <border>
      <left/>
      <right style="mediumDashed">
        <color theme="7"/>
      </right>
      <top/>
      <bottom style="thick">
        <color theme="7"/>
      </bottom>
      <diagonal/>
    </border>
    <border>
      <left style="mediumDashed">
        <color theme="7"/>
      </left>
      <right/>
      <top/>
      <bottom style="thick">
        <color theme="7"/>
      </bottom>
      <diagonal/>
    </border>
    <border>
      <left/>
      <right style="mediumDashed">
        <color theme="7"/>
      </right>
      <top/>
      <bottom/>
      <diagonal/>
    </border>
    <border>
      <left/>
      <right/>
      <top/>
      <bottom style="mediumDashed">
        <color theme="7"/>
      </bottom>
      <diagonal/>
    </border>
    <border>
      <left/>
      <right style="mediumDashed">
        <color theme="7"/>
      </right>
      <top/>
      <bottom style="mediumDashed">
        <color theme="7"/>
      </bottom>
      <diagonal/>
    </border>
    <border>
      <left/>
      <right style="mediumDashed">
        <color theme="7"/>
      </right>
      <top style="mediumDashed">
        <color theme="7"/>
      </top>
      <bottom/>
      <diagonal/>
    </border>
    <border>
      <left style="mediumDashed">
        <color theme="7"/>
      </left>
      <right/>
      <top/>
      <bottom style="mediumDashed">
        <color theme="7"/>
      </bottom>
      <diagonal/>
    </border>
    <border>
      <left/>
      <right/>
      <top style="mediumDashed">
        <color theme="7"/>
      </top>
      <bottom/>
      <diagonal/>
    </border>
    <border>
      <left/>
      <right/>
      <top/>
      <bottom style="medium">
        <color theme="7"/>
      </bottom>
      <diagonal/>
    </border>
    <border>
      <left/>
      <right/>
      <top style="medium">
        <color theme="7"/>
      </top>
      <bottom style="medium">
        <color theme="7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">
    <xf numFmtId="0" fontId="0" fillId="2" borderId="0"/>
    <xf numFmtId="0" fontId="13" fillId="0" borderId="0" applyNumberFormat="0" applyFill="0" applyBorder="0" applyAlignment="0" applyProtection="0"/>
    <xf numFmtId="0" fontId="11" fillId="0" borderId="0" applyNumberFormat="0" applyFill="0" applyBorder="0" applyProtection="0">
      <alignment horizontal="left" indent="2"/>
    </xf>
    <xf numFmtId="0" fontId="12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9" fillId="0" borderId="0"/>
    <xf numFmtId="0" fontId="21" fillId="0" borderId="0" applyNumberFormat="0" applyFill="0" applyBorder="0" applyAlignment="0" applyProtection="0"/>
  </cellStyleXfs>
  <cellXfs count="63">
    <xf numFmtId="0" fontId="0" fillId="2" borderId="0" xfId="0"/>
    <xf numFmtId="0" fontId="0" fillId="2" borderId="0" xfId="0" applyAlignment="1">
      <alignment horizontal="left" indent="1"/>
    </xf>
    <xf numFmtId="0" fontId="0" fillId="2" borderId="0" xfId="0" applyAlignment="1">
      <alignment horizontal="center"/>
    </xf>
    <xf numFmtId="0" fontId="0" fillId="2" borderId="2" xfId="0" applyBorder="1"/>
    <xf numFmtId="0" fontId="0" fillId="2" borderId="3" xfId="0" applyBorder="1"/>
    <xf numFmtId="0" fontId="0" fillId="2" borderId="2" xfId="0" applyBorder="1" applyAlignment="1">
      <alignment horizontal="left"/>
    </xf>
    <xf numFmtId="0" fontId="3" fillId="2" borderId="0" xfId="0" applyFont="1" applyAlignment="1">
      <alignment vertical="center"/>
    </xf>
    <xf numFmtId="0" fontId="0" fillId="2" borderId="5" xfId="0" applyBorder="1"/>
    <xf numFmtId="0" fontId="0" fillId="2" borderId="1" xfId="0" applyBorder="1"/>
    <xf numFmtId="0" fontId="2" fillId="2" borderId="10" xfId="0" applyFont="1" applyBorder="1" applyAlignment="1">
      <alignment horizontal="center"/>
    </xf>
    <xf numFmtId="0" fontId="6" fillId="2" borderId="0" xfId="0" applyFont="1" applyAlignment="1">
      <alignment horizontal="left" indent="4"/>
    </xf>
    <xf numFmtId="0" fontId="2" fillId="2" borderId="8" xfId="0" applyFont="1" applyBorder="1" applyAlignment="1">
      <alignment horizontal="center"/>
    </xf>
    <xf numFmtId="0" fontId="6" fillId="2" borderId="5" xfId="0" applyFont="1" applyBorder="1" applyAlignment="1">
      <alignment horizontal="left" indent="4"/>
    </xf>
    <xf numFmtId="0" fontId="4" fillId="2" borderId="1" xfId="0" applyFont="1" applyBorder="1" applyAlignment="1">
      <alignment horizontal="center"/>
    </xf>
    <xf numFmtId="0" fontId="1" fillId="2" borderId="5" xfId="0" applyFont="1" applyBorder="1" applyAlignment="1">
      <alignment horizontal="left" indent="4"/>
    </xf>
    <xf numFmtId="0" fontId="1" fillId="2" borderId="0" xfId="0" applyFont="1" applyAlignment="1">
      <alignment horizontal="left" indent="4"/>
    </xf>
    <xf numFmtId="0" fontId="7" fillId="2" borderId="3" xfId="0" applyFont="1" applyBorder="1" applyAlignment="1">
      <alignment horizontal="left" indent="1"/>
    </xf>
    <xf numFmtId="0" fontId="13" fillId="2" borderId="0" xfId="1" applyFill="1" applyAlignment="1">
      <alignment horizontal="center" vertical="center"/>
    </xf>
    <xf numFmtId="0" fontId="12" fillId="2" borderId="11" xfId="3" applyFill="1" applyBorder="1" applyAlignment="1">
      <alignment horizontal="left" vertical="center" indent="4"/>
    </xf>
    <xf numFmtId="0" fontId="12" fillId="2" borderId="12" xfId="3" applyFill="1" applyBorder="1" applyAlignment="1">
      <alignment horizontal="left" vertical="center" indent="4"/>
    </xf>
    <xf numFmtId="0" fontId="11" fillId="2" borderId="4" xfId="2" applyFill="1" applyBorder="1">
      <alignment horizontal="left" indent="2"/>
    </xf>
    <xf numFmtId="0" fontId="0" fillId="2" borderId="0" xfId="0" applyAlignment="1">
      <alignment horizontal="left" vertical="center"/>
    </xf>
    <xf numFmtId="0" fontId="0" fillId="2" borderId="0" xfId="0" applyAlignment="1">
      <alignment horizontal="right" vertical="center" indent="1"/>
    </xf>
    <xf numFmtId="3" fontId="0" fillId="2" borderId="0" xfId="0" applyNumberFormat="1" applyAlignment="1">
      <alignment horizontal="right" vertical="center" indent="1"/>
    </xf>
    <xf numFmtId="0" fontId="0" fillId="2" borderId="0" xfId="0" applyAlignment="1">
      <alignment horizontal="left"/>
    </xf>
    <xf numFmtId="3" fontId="0" fillId="2" borderId="0" xfId="0" applyNumberFormat="1" applyAlignment="1">
      <alignment horizontal="right" indent="1"/>
    </xf>
    <xf numFmtId="0" fontId="10" fillId="2" borderId="2" xfId="4" applyFill="1" applyBorder="1" applyAlignment="1">
      <alignment horizontal="left" indent="1"/>
    </xf>
    <xf numFmtId="0" fontId="14" fillId="2" borderId="0" xfId="0" applyFont="1" applyAlignment="1">
      <alignment horizontal="left"/>
    </xf>
    <xf numFmtId="3" fontId="14" fillId="2" borderId="0" xfId="0" applyNumberFormat="1" applyFont="1" applyAlignment="1">
      <alignment horizontal="right" indent="1"/>
    </xf>
    <xf numFmtId="0" fontId="15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3" fontId="17" fillId="2" borderId="0" xfId="0" applyNumberFormat="1" applyFont="1" applyAlignment="1">
      <alignment horizontal="right" indent="1"/>
    </xf>
    <xf numFmtId="0" fontId="16" fillId="2" borderId="0" xfId="0" applyFont="1" applyAlignment="1">
      <alignment horizontal="left"/>
    </xf>
    <xf numFmtId="164" fontId="5" fillId="2" borderId="9" xfId="0" applyNumberFormat="1" applyFont="1" applyBorder="1" applyAlignment="1">
      <alignment horizontal="center"/>
    </xf>
    <xf numFmtId="164" fontId="5" fillId="2" borderId="7" xfId="0" applyNumberFormat="1" applyFont="1" applyBorder="1" applyAlignment="1">
      <alignment horizontal="center"/>
    </xf>
    <xf numFmtId="164" fontId="5" fillId="2" borderId="6" xfId="0" applyNumberFormat="1" applyFont="1" applyBorder="1" applyAlignment="1">
      <alignment horizontal="center"/>
    </xf>
    <xf numFmtId="0" fontId="11" fillId="2" borderId="2" xfId="2" applyFill="1" applyBorder="1" applyAlignment="1"/>
    <xf numFmtId="0" fontId="15" fillId="2" borderId="0" xfId="0" applyFont="1" applyAlignment="1">
      <alignment horizontal="left"/>
    </xf>
    <xf numFmtId="0" fontId="0" fillId="2" borderId="0" xfId="0" applyAlignment="1">
      <alignment horizontal="center" vertical="center"/>
    </xf>
    <xf numFmtId="0" fontId="0" fillId="2" borderId="0" xfId="0" pivotButton="1"/>
    <xf numFmtId="165" fontId="0" fillId="2" borderId="0" xfId="0" applyNumberFormat="1" applyAlignment="1">
      <alignment vertical="center"/>
    </xf>
    <xf numFmtId="165" fontId="0" fillId="2" borderId="0" xfId="0" applyNumberFormat="1" applyAlignment="1">
      <alignment horizontal="right" vertical="center"/>
    </xf>
    <xf numFmtId="0" fontId="18" fillId="2" borderId="13" xfId="0" applyFont="1" applyBorder="1" applyAlignment="1">
      <alignment horizontal="left" vertical="center"/>
    </xf>
    <xf numFmtId="3" fontId="18" fillId="2" borderId="13" xfId="0" applyNumberFormat="1" applyFont="1" applyBorder="1" applyAlignment="1">
      <alignment horizontal="right" vertical="center"/>
    </xf>
    <xf numFmtId="165" fontId="18" fillId="2" borderId="13" xfId="0" applyNumberFormat="1" applyFont="1" applyBorder="1" applyAlignment="1">
      <alignment vertical="center"/>
    </xf>
    <xf numFmtId="0" fontId="20" fillId="2" borderId="0" xfId="0" applyFont="1"/>
    <xf numFmtId="3" fontId="18" fillId="2" borderId="13" xfId="0" applyNumberFormat="1" applyFont="1" applyBorder="1" applyAlignment="1">
      <alignment vertical="center"/>
    </xf>
    <xf numFmtId="3" fontId="18" fillId="2" borderId="13" xfId="0" applyNumberFormat="1" applyFont="1" applyBorder="1" applyAlignment="1">
      <alignment horizontal="right" vertical="center" indent="1"/>
    </xf>
    <xf numFmtId="0" fontId="0" fillId="2" borderId="0" xfId="0" applyAlignment="1">
      <alignment vertical="center"/>
    </xf>
    <xf numFmtId="165" fontId="9" fillId="2" borderId="6" xfId="0" applyNumberFormat="1" applyFont="1" applyBorder="1" applyAlignment="1">
      <alignment horizontal="center"/>
    </xf>
    <xf numFmtId="0" fontId="11" fillId="2" borderId="10" xfId="2" applyFill="1" applyBorder="1" applyAlignment="1">
      <alignment horizontal="left" vertical="center" indent="1"/>
    </xf>
    <xf numFmtId="0" fontId="18" fillId="2" borderId="13" xfId="0" applyFont="1" applyBorder="1" applyAlignment="1">
      <alignment horizontal="left"/>
    </xf>
    <xf numFmtId="3" fontId="22" fillId="2" borderId="0" xfId="0" applyNumberFormat="1" applyFont="1"/>
    <xf numFmtId="3" fontId="23" fillId="2" borderId="13" xfId="0" applyNumberFormat="1" applyFont="1" applyBorder="1" applyAlignment="1">
      <alignment horizontal="right" vertical="center" indent="1"/>
    </xf>
    <xf numFmtId="3" fontId="23" fillId="2" borderId="13" xfId="0" applyNumberFormat="1" applyFont="1" applyBorder="1" applyAlignment="1">
      <alignment horizontal="right" indent="1"/>
    </xf>
    <xf numFmtId="3" fontId="0" fillId="2" borderId="0" xfId="0" applyNumberFormat="1"/>
    <xf numFmtId="0" fontId="0" fillId="2" borderId="0" xfId="0" applyAlignment="1">
      <alignment horizontal="center"/>
    </xf>
    <xf numFmtId="165" fontId="8" fillId="2" borderId="0" xfId="0" applyNumberFormat="1" applyFont="1" applyAlignment="1">
      <alignment horizontal="center" vertical="center"/>
    </xf>
    <xf numFmtId="0" fontId="13" fillId="2" borderId="0" xfId="1" applyFill="1" applyAlignment="1">
      <alignment horizontal="center" vertical="center"/>
    </xf>
    <xf numFmtId="0" fontId="0" fillId="2" borderId="0" xfId="0" applyNumberFormat="1"/>
    <xf numFmtId="165" fontId="24" fillId="2" borderId="0" xfId="0" applyNumberFormat="1" applyFont="1"/>
    <xf numFmtId="3" fontId="24" fillId="2" borderId="0" xfId="0" applyNumberFormat="1" applyFont="1"/>
    <xf numFmtId="165" fontId="24" fillId="2" borderId="0" xfId="0" applyNumberFormat="1" applyFont="1" applyAlignment="1">
      <alignment horizontal="right" vertical="center" indent="1"/>
    </xf>
  </cellXfs>
  <cellStyles count="7">
    <cellStyle name="Encabezado 1" xfId="1" builtinId="16" customBuiltin="1"/>
    <cellStyle name="Normal" xfId="0" builtinId="0" customBuiltin="1"/>
    <cellStyle name="Normal 2" xfId="5" xr:uid="{6DD847AC-2B9C-4186-8453-0324E0912B4D}"/>
    <cellStyle name="Título" xfId="4" builtinId="15" customBuiltin="1"/>
    <cellStyle name="Título 2" xfId="2" builtinId="17" customBuiltin="1"/>
    <cellStyle name="Título 2 2" xfId="6" xr:uid="{0C140232-B2E0-42E7-ADB2-00F27D3FA79F}"/>
    <cellStyle name="Título 3" xfId="3" builtinId="18" customBuiltin="1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B050"/>
        <name val="Franklin Gothic Medium"/>
        <family val="2"/>
        <scheme val="minor"/>
      </font>
      <numFmt numFmtId="165" formatCode="#,##0_ ;[Red]\-#,##0\ "/>
      <fill>
        <patternFill patternType="solid">
          <fgColor theme="7" tint="0.79998168889431442"/>
          <bgColor theme="7" tint="0.79998168889431442"/>
        </patternFill>
      </fill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9"/>
        <color rgb="FF00B050"/>
        <name val="Franklin Gothic Medium"/>
        <family val="2"/>
        <scheme val="minor"/>
      </font>
      <numFmt numFmtId="165" formatCode="#,##0_ ;[Red]\-#,##0\ "/>
      <fill>
        <patternFill patternType="solid">
          <fgColor theme="7" tint="0.79998168889431442"/>
          <bgColor theme="7" tint="0.79998168889431442"/>
        </patternFill>
      </fill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alignment horizontal="right" vertical="center" textRotation="0" wrapText="0" indent="1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numFmt numFmtId="3" formatCode="#,##0"/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"/>
        <family val="2"/>
        <scheme val="minor"/>
      </font>
      <numFmt numFmtId="3" formatCode="#,##0"/>
      <alignment horizontal="right" vertical="center" textRotation="0" wrapText="0" indent="1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165" formatCode="#,##0_ ;[Red]\-#,##0\ "/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165" formatCode="#,##0_ ;[Red]\-#,##0\ "/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numFmt numFmtId="3" formatCode="#,##0"/>
      <alignment horizontal="righ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numFmt numFmtId="3" formatCode="#,##0"/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"/>
        <family val="2"/>
        <scheme val="minor"/>
      </font>
      <numFmt numFmtId="3" formatCode="#,##0"/>
      <alignment horizontal="right" vertical="bottom" textRotation="0" wrapText="0" indent="1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Franklin Gothic Medium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/>
        <strike/>
        <condense/>
        <extend/>
        <outline/>
        <shadow/>
        <u val="none"/>
        <vertAlign val="baseline"/>
        <sz val="9"/>
        <color theme="1"/>
        <name val="Franklin Gothic Medium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rgb="FFFF0000"/>
        <name val="Franklin Gothic Medium"/>
        <family val="2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9"/>
        <color rgb="FFFF0000"/>
        <name val="Franklin Gothic Medium"/>
        <family val="2"/>
        <scheme val="minor"/>
      </font>
      <numFmt numFmtId="165" formatCode="#,##0_ ;[Red]\-#,##0\ "/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4"/>
        </patternFill>
      </fill>
      <border>
        <left style="medium">
          <color theme="4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5"/>
        </patternFill>
      </fill>
      <border>
        <left style="medium">
          <color theme="5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8"/>
        </patternFill>
      </fill>
      <border>
        <left style="medium">
          <color theme="8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9"/>
        </patternFill>
      </fill>
      <border>
        <left style="medium">
          <color theme="9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6"/>
        </patternFill>
      </fill>
      <border>
        <left style="medium">
          <color theme="6"/>
        </left>
      </border>
    </dxf>
    <dxf>
      <border>
        <left style="mediumDashed">
          <color theme="7"/>
        </left>
      </border>
    </dxf>
    <dxf>
      <fill>
        <patternFill>
          <bgColor theme="0"/>
        </patternFill>
      </fill>
    </dxf>
    <dxf>
      <font>
        <b/>
        <i val="0"/>
      </font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7"/>
        </patternFill>
      </fill>
      <border>
        <left style="medium">
          <color theme="7"/>
        </left>
      </border>
    </dxf>
    <dxf>
      <font>
        <b val="0"/>
        <i val="0"/>
      </font>
      <border>
        <left style="mediumDashed">
          <color theme="7"/>
        </left>
      </border>
    </dxf>
  </dxfs>
  <tableStyles count="6" defaultTableStyle="Cash Table" defaultPivotStyle="PivotStyleLight16">
    <tableStyle name="Cash Table" pivot="0" count="4" xr9:uid="{00000000-0011-0000-FFFF-FFFF00000000}">
      <tableStyleElement type="wholeTable" dxfId="47"/>
      <tableStyleElement type="headerRow" dxfId="46"/>
      <tableStyleElement type="firstColumn" dxfId="45"/>
      <tableStyleElement type="secondRowStripe" dxfId="44"/>
    </tableStyle>
    <tableStyle name="Investment Table" pivot="0" count="4" xr9:uid="{00000000-0011-0000-FFFF-FFFF01000000}">
      <tableStyleElement type="wholeTable" dxfId="43"/>
      <tableStyleElement type="headerRow" dxfId="42"/>
      <tableStyleElement type="firstColumn" dxfId="41"/>
      <tableStyleElement type="secondRowStripe" dxfId="40"/>
    </tableStyle>
    <tableStyle name="Personal Table" pivot="0" count="4" xr9:uid="{00000000-0011-0000-FFFF-FFFF02000000}">
      <tableStyleElement type="wholeTable" dxfId="39"/>
      <tableStyleElement type="headerRow" dxfId="38"/>
      <tableStyleElement type="firstColumn" dxfId="37"/>
      <tableStyleElement type="secondRowStripe" dxfId="36"/>
    </tableStyle>
    <tableStyle name="Retirement Table" pivot="0" count="4" xr9:uid="{00000000-0011-0000-FFFF-FFFF03000000}">
      <tableStyleElement type="wholeTable" dxfId="35"/>
      <tableStyleElement type="headerRow" dxfId="34"/>
      <tableStyleElement type="firstColumn" dxfId="33"/>
      <tableStyleElement type="secondRowStripe" dxfId="32"/>
    </tableStyle>
    <tableStyle name="Secured Table" pivot="0" count="4" xr9:uid="{00000000-0011-0000-FFFF-FFFF04000000}">
      <tableStyleElement type="wholeTable" dxfId="31"/>
      <tableStyleElement type="headerRow" dxfId="30"/>
      <tableStyleElement type="firstColumn" dxfId="29"/>
      <tableStyleElement type="secondRowStripe" dxfId="28"/>
    </tableStyle>
    <tableStyle name="Unsecured Table" pivot="0" count="4" xr9:uid="{00000000-0011-0000-FFFF-FFFF05000000}">
      <tableStyleElement type="wholeTable" dxfId="27"/>
      <tableStyleElement type="headerRow" dxfId="26"/>
      <tableStyleElement type="firstColumn" dxfId="25"/>
      <tableStyleElement type="secondRowStripe" dxfId="24"/>
    </tableStyle>
  </tableStyles>
  <colors>
    <mruColors>
      <color rgb="FFCC70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69362621041322"/>
          <c:y val="0"/>
          <c:w val="0.71263539302086132"/>
          <c:h val="0.96586746363003551"/>
        </c:manualLayout>
      </c:layout>
      <c:doughnutChart>
        <c:varyColors val="1"/>
        <c:ser>
          <c:idx val="0"/>
          <c:order val="0"/>
          <c:val>
            <c:numRef>
              <c:f>I9B1a!$E$5:$E$11</c:f>
              <c:numCache>
                <c:formatCode>#,##0_ ;[Red]\-#,##0\ </c:formatCode>
                <c:ptCount val="7"/>
                <c:pt idx="0">
                  <c:v>5909</c:v>
                </c:pt>
                <c:pt idx="1">
                  <c:v>51971</c:v>
                </c:pt>
                <c:pt idx="2">
                  <c:v>301449</c:v>
                </c:pt>
                <c:pt idx="3">
                  <c:v>31452</c:v>
                </c:pt>
                <c:pt idx="4">
                  <c:v>11678</c:v>
                </c:pt>
                <c:pt idx="5">
                  <c:v>57228</c:v>
                </c:pt>
                <c:pt idx="6">
                  <c:v>5583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7C-4C99-BC64-7BDD284392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90246420625532"/>
          <c:y val="0"/>
          <c:w val="0.67240386747130665"/>
          <c:h val="0.95828778929224556"/>
        </c:manualLayout>
      </c:layout>
      <c:doughnutChart>
        <c:varyColors val="1"/>
        <c:ser>
          <c:idx val="1"/>
          <c:order val="0"/>
          <c:tx>
            <c:strRef>
              <c:f>I91c!$D$4</c:f>
              <c:strCache>
                <c:ptCount val="1"/>
                <c:pt idx="0">
                  <c:v>Bolsa I91c</c:v>
                </c:pt>
              </c:strCache>
            </c:strRef>
          </c:tx>
          <c:val>
            <c:numRef>
              <c:f>I91c!$E$5:$E$11</c:f>
              <c:numCache>
                <c:formatCode>#,##0_ ;[Red]\-#,##0\ </c:formatCode>
                <c:ptCount val="7"/>
                <c:pt idx="0">
                  <c:v>1590</c:v>
                </c:pt>
                <c:pt idx="1">
                  <c:v>13987</c:v>
                </c:pt>
                <c:pt idx="2">
                  <c:v>81127</c:v>
                </c:pt>
                <c:pt idx="3">
                  <c:v>8465</c:v>
                </c:pt>
                <c:pt idx="4">
                  <c:v>3143</c:v>
                </c:pt>
                <c:pt idx="5">
                  <c:v>15401</c:v>
                </c:pt>
                <c:pt idx="6">
                  <c:v>1503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A5D-4ABE-AF7E-A27C9797E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9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352799650043743E-2"/>
          <c:y val="4.1666666666666664E-2"/>
          <c:w val="0.9569898293963256"/>
          <c:h val="0.9569898293963256"/>
        </c:manualLayout>
      </c:layout>
      <c:doughnutChart>
        <c:varyColors val="1"/>
        <c:ser>
          <c:idx val="0"/>
          <c:order val="0"/>
          <c:tx>
            <c:strRef>
              <c:f>I91c!$D$4</c:f>
              <c:strCache>
                <c:ptCount val="1"/>
                <c:pt idx="0">
                  <c:v>Bolsa I91c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1-3F43-4933-9607-6D38C9F7D62F}"/>
              </c:ext>
            </c:extLst>
          </c:dPt>
          <c:dPt>
            <c:idx val="1"/>
            <c:bubble3D val="0"/>
            <c:explosion val="8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3F43-4933-9607-6D38C9F7D62F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</c:spPr>
            <c:extLst>
              <c:ext xmlns:c16="http://schemas.microsoft.com/office/drawing/2014/chart" uri="{C3380CC4-5D6E-409C-BE32-E72D297353CC}">
                <c16:uniqueId val="{00000005-3F43-4933-9607-6D38C9F7D62F}"/>
              </c:ext>
            </c:extLst>
          </c:dPt>
          <c:dPt>
            <c:idx val="3"/>
            <c:bubble3D val="0"/>
            <c:explosion val="5"/>
            <c:spPr>
              <a:solidFill>
                <a:schemeClr val="accent6"/>
              </a:solidFill>
            </c:spPr>
            <c:extLst>
              <c:ext xmlns:c16="http://schemas.microsoft.com/office/drawing/2014/chart" uri="{C3380CC4-5D6E-409C-BE32-E72D297353CC}">
                <c16:uniqueId val="{00000007-3F43-4933-9607-6D38C9F7D62F}"/>
              </c:ext>
            </c:extLst>
          </c:dPt>
          <c:dPt>
            <c:idx val="5"/>
            <c:bubble3D val="0"/>
            <c:explosion val="6"/>
            <c:extLst>
              <c:ext xmlns:c16="http://schemas.microsoft.com/office/drawing/2014/chart" uri="{C3380CC4-5D6E-409C-BE32-E72D297353CC}">
                <c16:uniqueId val="{00000008-AD54-44A3-A139-FF0CF999A3A7}"/>
              </c:ext>
            </c:extLst>
          </c:dPt>
          <c:dLbls>
            <c:delete val="1"/>
          </c:dLbls>
          <c:cat>
            <c:strRef>
              <c:f>I91c!$D$5:$D$11</c:f>
              <c:strCache>
                <c:ptCount val="7"/>
                <c:pt idx="0">
                  <c:v>GERENCIA</c:v>
                </c:pt>
                <c:pt idx="1">
                  <c:v>DIRECCIÓN MÉDICA</c:v>
                </c:pt>
                <c:pt idx="2">
                  <c:v>DIRECCIÓN DE ENFERMERÍA</c:v>
                </c:pt>
                <c:pt idx="3">
                  <c:v>DIRECCIÓN DE PLANIFIFCACIÓN Y GESTIÓN DE RR.EE.</c:v>
                </c:pt>
                <c:pt idx="4">
                  <c:v>DIRECCIÓN DE INGENIERÍA, INFRAESTRUCTURAS Y TEC.</c:v>
                </c:pt>
                <c:pt idx="5">
                  <c:v>DIRECCIÓN DE SERVICIOS GENERALES</c:v>
                </c:pt>
                <c:pt idx="6">
                  <c:v>DIRECCIÓN DE RR.HH.</c:v>
                </c:pt>
              </c:strCache>
            </c:strRef>
          </c:cat>
          <c:val>
            <c:numRef>
              <c:f>I91c!$E$5:$E$11</c:f>
              <c:numCache>
                <c:formatCode>#,##0_ ;[Red]\-#,##0\ </c:formatCode>
                <c:ptCount val="7"/>
                <c:pt idx="0">
                  <c:v>1590</c:v>
                </c:pt>
                <c:pt idx="1">
                  <c:v>13987</c:v>
                </c:pt>
                <c:pt idx="2">
                  <c:v>81127</c:v>
                </c:pt>
                <c:pt idx="3">
                  <c:v>8465</c:v>
                </c:pt>
                <c:pt idx="4">
                  <c:v>3143</c:v>
                </c:pt>
                <c:pt idx="5">
                  <c:v>15401</c:v>
                </c:pt>
                <c:pt idx="6">
                  <c:v>1503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F43-4933-9607-6D38C9F7D6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9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58894645941278E-2"/>
          <c:y val="2.185792349726776E-2"/>
          <c:w val="0.95171272308578003"/>
          <c:h val="0.9635701275045537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7E50-4A5D-B232-60B5CD674E51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3-7E50-4A5D-B232-60B5CD674E51}"/>
              </c:ext>
            </c:extLst>
          </c:dPt>
          <c:dPt>
            <c:idx val="2"/>
            <c:bubble3D val="0"/>
            <c:explosion val="2"/>
            <c:extLst>
              <c:ext xmlns:c16="http://schemas.microsoft.com/office/drawing/2014/chart" uri="{C3380CC4-5D6E-409C-BE32-E72D297353CC}">
                <c16:uniqueId val="{00000004-4E4C-4FA7-8761-981BE78003AA}"/>
              </c:ext>
            </c:extLst>
          </c:dPt>
          <c:dPt>
            <c:idx val="4"/>
            <c:bubble3D val="0"/>
            <c:explosion val="3"/>
            <c:extLst>
              <c:ext xmlns:c16="http://schemas.microsoft.com/office/drawing/2014/chart" uri="{C3380CC4-5D6E-409C-BE32-E72D297353CC}">
                <c16:uniqueId val="{00000007-4E4C-4FA7-8761-981BE78003AA}"/>
              </c:ext>
            </c:extLst>
          </c:dPt>
          <c:dPt>
            <c:idx val="5"/>
            <c:bubble3D val="0"/>
            <c:explosion val="6"/>
            <c:extLst>
              <c:ext xmlns:c16="http://schemas.microsoft.com/office/drawing/2014/chart" uri="{C3380CC4-5D6E-409C-BE32-E72D297353CC}">
                <c16:uniqueId val="{00000005-4E4C-4FA7-8761-981BE78003AA}"/>
              </c:ext>
            </c:extLst>
          </c:dPt>
          <c:dPt>
            <c:idx val="6"/>
            <c:bubble3D val="0"/>
            <c:explosion val="2"/>
            <c:extLst>
              <c:ext xmlns:c16="http://schemas.microsoft.com/office/drawing/2014/chart" uri="{C3380CC4-5D6E-409C-BE32-E72D297353CC}">
                <c16:uniqueId val="{00000008-4E4C-4FA7-8761-981BE78003AA}"/>
              </c:ext>
            </c:extLst>
          </c:dPt>
          <c:cat>
            <c:strRef>
              <c:f>I9B1a!$D$5:$D$11</c:f>
              <c:strCache>
                <c:ptCount val="7"/>
                <c:pt idx="0">
                  <c:v>GERENCIA</c:v>
                </c:pt>
                <c:pt idx="1">
                  <c:v>DIRECCIÓN MÉDICA</c:v>
                </c:pt>
                <c:pt idx="2">
                  <c:v>DIRECCIÓN DE ENFERMERÍA</c:v>
                </c:pt>
                <c:pt idx="3">
                  <c:v>DIRECCIÓN DE PLANIFIFCACIÓN Y GESTIÓN DE RR.EE.</c:v>
                </c:pt>
                <c:pt idx="4">
                  <c:v>DIRECCIÓN DE INGENIERÍA, INFRAESTRUCTURAS Y TEC.</c:v>
                </c:pt>
                <c:pt idx="5">
                  <c:v>DIRECCIÓN DE SERVICIOS GENERALES</c:v>
                </c:pt>
                <c:pt idx="6">
                  <c:v>DIRECCIÓN DE RR.HH.</c:v>
                </c:pt>
              </c:strCache>
            </c:strRef>
          </c:cat>
          <c:val>
            <c:numRef>
              <c:f>I9B1a!$E$5:$E$11</c:f>
              <c:numCache>
                <c:formatCode>#,##0_ ;[Red]\-#,##0\ </c:formatCode>
                <c:ptCount val="7"/>
                <c:pt idx="0">
                  <c:v>5909</c:v>
                </c:pt>
                <c:pt idx="1">
                  <c:v>51971</c:v>
                </c:pt>
                <c:pt idx="2">
                  <c:v>301449</c:v>
                </c:pt>
                <c:pt idx="3">
                  <c:v>31452</c:v>
                </c:pt>
                <c:pt idx="4">
                  <c:v>11678</c:v>
                </c:pt>
                <c:pt idx="5">
                  <c:v>57228</c:v>
                </c:pt>
                <c:pt idx="6">
                  <c:v>5583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50-4A5D-B232-60B5CD674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lvl ptCount="5">
          <cx:pt idx="0">I91b</cx:pt>
          <cx:pt idx="1">I91c</cx:pt>
          <cx:pt idx="2">I9B1a</cx:pt>
          <cx:pt idx="3">I9B1b</cx:pt>
          <cx:pt idx="4">I9B1c</cx:pt>
        </cx:lvl>
      </cx:strDim>
      <cx:numDim type="val">
        <cx:lvl ptCount="5">
          <cx:pt idx="0">0</cx:pt>
          <cx:pt idx="1">125215</cx:pt>
          <cx:pt idx="2">465271</cx:pt>
          <cx:pt idx="3">64</cx:pt>
          <cx:pt idx="4">0</cx:pt>
        </cx:lvl>
      </cx:numDim>
    </cx:data>
  </cx:chartData>
  <cx:chart>
    <cx:plotArea>
      <cx:plotAreaRegion>
        <cx:series layoutId="waterfall" uniqueId="{212747BE-DFFF-4B2C-A5E1-C0D25794D30D}">
          <cx:tx>
            <cx:txData>
              <cx:v>Tope</cx:v>
            </cx:txData>
          </cx:tx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tickLabels/>
      </cx:axis>
    </cx:plotArea>
  </cx:chart>
  <cx:spPr>
    <a:solidFill>
      <a:schemeClr val="accent4">
        <a:lumMod val="20000"/>
        <a:lumOff val="80000"/>
      </a:schemeClr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9B1a!A1"/><Relationship Id="rId2" Type="http://schemas.openxmlformats.org/officeDocument/2006/relationships/hyperlink" Target="#I91c!A1"/><Relationship Id="rId1" Type="http://schemas.openxmlformats.org/officeDocument/2006/relationships/chart" Target="../charts/chart1.xml"/><Relationship Id="rId5" Type="http://schemas.microsoft.com/office/2014/relationships/chartEx" Target="../charts/chartEx1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Panel!A1"/><Relationship Id="rId2" Type="http://schemas.openxmlformats.org/officeDocument/2006/relationships/hyperlink" Target="#I9B1a!A1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Panel!A1"/><Relationship Id="rId2" Type="http://schemas.openxmlformats.org/officeDocument/2006/relationships/hyperlink" Target="#I91c!A1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220839</xdr:colOff>
      <xdr:row>3</xdr:row>
      <xdr:rowOff>34020</xdr:rowOff>
    </xdr:from>
    <xdr:to>
      <xdr:col>6</xdr:col>
      <xdr:colOff>2238022</xdr:colOff>
      <xdr:row>9</xdr:row>
      <xdr:rowOff>93586</xdr:rowOff>
    </xdr:to>
    <xdr:graphicFrame macro="">
      <xdr:nvGraphicFramePr>
        <xdr:cNvPr id="27" name="Sumario de responsabilidad total" descr="Gráfico de anillos que muestra un resumen de los pasivos" title="Sumario de responsabilidad total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162806</xdr:colOff>
      <xdr:row>22</xdr:row>
      <xdr:rowOff>60305</xdr:rowOff>
    </xdr:from>
    <xdr:to>
      <xdr:col>3</xdr:col>
      <xdr:colOff>2038131</xdr:colOff>
      <xdr:row>24</xdr:row>
      <xdr:rowOff>79956</xdr:rowOff>
    </xdr:to>
    <xdr:sp macro="" textlink="">
      <xdr:nvSpPr>
        <xdr:cNvPr id="17" name="Ver activos" descr="Haga clic para ver y modificar los activos" title="Ver activos">
          <a:hlinkClick xmlns:r="http://schemas.openxmlformats.org/officeDocument/2006/relationships" r:id="rId2" tooltip="Haga clic para ver y modificar los activos"/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3191756" y="6637318"/>
          <a:ext cx="1875325" cy="324451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I91c</a:t>
          </a:r>
          <a:endParaRPr lang="en-US" sz="1050"/>
        </a:p>
      </xdr:txBody>
    </xdr:sp>
    <xdr:clientData fPrintsWithSheet="0"/>
  </xdr:twoCellAnchor>
  <xdr:twoCellAnchor>
    <xdr:from>
      <xdr:col>3</xdr:col>
      <xdr:colOff>155575</xdr:colOff>
      <xdr:row>12</xdr:row>
      <xdr:rowOff>118861</xdr:rowOff>
    </xdr:from>
    <xdr:to>
      <xdr:col>3</xdr:col>
      <xdr:colOff>338455</xdr:colOff>
      <xdr:row>12</xdr:row>
      <xdr:rowOff>301741</xdr:rowOff>
    </xdr:to>
    <xdr:sp macro="" textlink="">
      <xdr:nvSpPr>
        <xdr:cNvPr id="6" name="Efectivo" descr="&quot;&quot;" title="Color del gráfico de efectiv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2927350" y="3633586"/>
          <a:ext cx="182880" cy="182880"/>
        </a:xfrm>
        <a:prstGeom prst="rect">
          <a:avLst/>
        </a:prstGeom>
        <a:solidFill>
          <a:schemeClr val="accent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13</xdr:row>
      <xdr:rowOff>98266</xdr:rowOff>
    </xdr:from>
    <xdr:to>
      <xdr:col>3</xdr:col>
      <xdr:colOff>338455</xdr:colOff>
      <xdr:row>13</xdr:row>
      <xdr:rowOff>281146</xdr:rowOff>
    </xdr:to>
    <xdr:sp macro="" textlink="">
      <xdr:nvSpPr>
        <xdr:cNvPr id="33" name="Inversiones" descr="&quot;&quot;" title="Color del gráfico de inversiones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2927350" y="4003516"/>
          <a:ext cx="182880" cy="182880"/>
        </a:xfrm>
        <a:prstGeom prst="rect">
          <a:avLst/>
        </a:prstGeom>
        <a:solidFill>
          <a:schemeClr val="accent3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14</xdr:row>
      <xdr:rowOff>115772</xdr:rowOff>
    </xdr:from>
    <xdr:to>
      <xdr:col>3</xdr:col>
      <xdr:colOff>338455</xdr:colOff>
      <xdr:row>14</xdr:row>
      <xdr:rowOff>298652</xdr:rowOff>
    </xdr:to>
    <xdr:sp macro="" textlink="">
      <xdr:nvSpPr>
        <xdr:cNvPr id="37" name="Jubilación" descr="&quot;&quot;" title="Color del gráfico de jubilaciones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/>
      </xdr:nvSpPr>
      <xdr:spPr>
        <a:xfrm>
          <a:off x="2927350" y="4411547"/>
          <a:ext cx="182880" cy="182880"/>
        </a:xfrm>
        <a:prstGeom prst="rect">
          <a:avLst/>
        </a:prstGeom>
        <a:solidFill>
          <a:schemeClr val="accent5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15</xdr:row>
      <xdr:rowOff>85652</xdr:rowOff>
    </xdr:from>
    <xdr:to>
      <xdr:col>3</xdr:col>
      <xdr:colOff>338455</xdr:colOff>
      <xdr:row>15</xdr:row>
      <xdr:rowOff>268532</xdr:rowOff>
    </xdr:to>
    <xdr:sp macro="" textlink="">
      <xdr:nvSpPr>
        <xdr:cNvPr id="41" name="Personal" descr="&quot;&quot;" title="Color del gráfico de importes personales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2927350" y="4771952"/>
          <a:ext cx="182880" cy="182880"/>
        </a:xfrm>
        <a:prstGeom prst="rect">
          <a:avLst/>
        </a:prstGeom>
        <a:solidFill>
          <a:schemeClr val="accent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262291</xdr:colOff>
      <xdr:row>22</xdr:row>
      <xdr:rowOff>31730</xdr:rowOff>
    </xdr:from>
    <xdr:to>
      <xdr:col>6</xdr:col>
      <xdr:colOff>2114727</xdr:colOff>
      <xdr:row>24</xdr:row>
      <xdr:rowOff>51381</xdr:rowOff>
    </xdr:to>
    <xdr:sp macro="" textlink="">
      <xdr:nvSpPr>
        <xdr:cNvPr id="18" name="Ver pasivos" descr="Haga clic para ver y modificar los pasivos" title="Ver pasivos">
          <a:hlinkClick xmlns:r="http://schemas.openxmlformats.org/officeDocument/2006/relationships" r:id="rId3" tooltip="Haga clic para ver y modificar los pasivos"/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6272566" y="6608743"/>
          <a:ext cx="1852436" cy="324451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I9B1a</a:t>
          </a:r>
          <a:endParaRPr lang="en-US" sz="1050" spc="150">
            <a:effectLst/>
          </a:endParaRPr>
        </a:p>
      </xdr:txBody>
    </xdr:sp>
    <xdr:clientData fPrintsWithSheet="0"/>
  </xdr:twoCellAnchor>
  <xdr:twoCellAnchor>
    <xdr:from>
      <xdr:col>3</xdr:col>
      <xdr:colOff>171449</xdr:colOff>
      <xdr:row>2</xdr:row>
      <xdr:rowOff>409575</xdr:rowOff>
    </xdr:from>
    <xdr:to>
      <xdr:col>3</xdr:col>
      <xdr:colOff>2341032</xdr:colOff>
      <xdr:row>9</xdr:row>
      <xdr:rowOff>93586</xdr:rowOff>
    </xdr:to>
    <xdr:graphicFrame macro="">
      <xdr:nvGraphicFramePr>
        <xdr:cNvPr id="20" name="Sumario del total de bienes" descr="Gráfico de anillos que muestra un resumen de los activos" title="Sumario del total de bienes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155575</xdr:colOff>
      <xdr:row>16</xdr:row>
      <xdr:rowOff>85652</xdr:rowOff>
    </xdr:from>
    <xdr:to>
      <xdr:col>3</xdr:col>
      <xdr:colOff>338455</xdr:colOff>
      <xdr:row>16</xdr:row>
      <xdr:rowOff>268532</xdr:rowOff>
    </xdr:to>
    <xdr:sp macro="" textlink="">
      <xdr:nvSpPr>
        <xdr:cNvPr id="2" name="Personal" descr="&quot;&quot;" title="Color del gráfico de importes personales">
          <a:extLst>
            <a:ext uri="{FF2B5EF4-FFF2-40B4-BE49-F238E27FC236}">
              <a16:creationId xmlns:a16="http://schemas.microsoft.com/office/drawing/2014/main" id="{015B0DA5-B512-4B34-83CF-85FB9A3E8528}"/>
            </a:ext>
          </a:extLst>
        </xdr:cNvPr>
        <xdr:cNvSpPr/>
      </xdr:nvSpPr>
      <xdr:spPr>
        <a:xfrm>
          <a:off x="3184525" y="4848152"/>
          <a:ext cx="182880" cy="182880"/>
        </a:xfrm>
        <a:prstGeom prst="rect">
          <a:avLst/>
        </a:prstGeom>
        <a:solidFill>
          <a:schemeClr val="accent2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17</xdr:row>
      <xdr:rowOff>85652</xdr:rowOff>
    </xdr:from>
    <xdr:to>
      <xdr:col>3</xdr:col>
      <xdr:colOff>338455</xdr:colOff>
      <xdr:row>17</xdr:row>
      <xdr:rowOff>268532</xdr:rowOff>
    </xdr:to>
    <xdr:sp macro="" textlink="">
      <xdr:nvSpPr>
        <xdr:cNvPr id="3" name="Personal" descr="&quot;&quot;" title="Color del gráfico de importes personales">
          <a:extLst>
            <a:ext uri="{FF2B5EF4-FFF2-40B4-BE49-F238E27FC236}">
              <a16:creationId xmlns:a16="http://schemas.microsoft.com/office/drawing/2014/main" id="{AEA1AE49-75AF-4027-82DC-27E13B865BE5}"/>
            </a:ext>
          </a:extLst>
        </xdr:cNvPr>
        <xdr:cNvSpPr/>
      </xdr:nvSpPr>
      <xdr:spPr>
        <a:xfrm>
          <a:off x="3184525" y="5238677"/>
          <a:ext cx="182880" cy="18288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155575</xdr:colOff>
      <xdr:row>18</xdr:row>
      <xdr:rowOff>85652</xdr:rowOff>
    </xdr:from>
    <xdr:to>
      <xdr:col>3</xdr:col>
      <xdr:colOff>338455</xdr:colOff>
      <xdr:row>18</xdr:row>
      <xdr:rowOff>268532</xdr:rowOff>
    </xdr:to>
    <xdr:sp macro="" textlink="">
      <xdr:nvSpPr>
        <xdr:cNvPr id="4" name="Personal" descr="&quot;&quot;" title="Color del gráfico de importes personales">
          <a:extLst>
            <a:ext uri="{FF2B5EF4-FFF2-40B4-BE49-F238E27FC236}">
              <a16:creationId xmlns:a16="http://schemas.microsoft.com/office/drawing/2014/main" id="{6733F4E8-EE2F-475F-8DC8-4BC7489CBBC1}"/>
            </a:ext>
          </a:extLst>
        </xdr:cNvPr>
        <xdr:cNvSpPr/>
      </xdr:nvSpPr>
      <xdr:spPr>
        <a:xfrm>
          <a:off x="3184525" y="5238677"/>
          <a:ext cx="182880" cy="182880"/>
        </a:xfrm>
        <a:prstGeom prst="rect">
          <a:avLst/>
        </a:prstGeom>
        <a:solidFill>
          <a:schemeClr val="accent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12</xdr:row>
      <xdr:rowOff>118861</xdr:rowOff>
    </xdr:from>
    <xdr:to>
      <xdr:col>6</xdr:col>
      <xdr:colOff>338455</xdr:colOff>
      <xdr:row>12</xdr:row>
      <xdr:rowOff>301741</xdr:rowOff>
    </xdr:to>
    <xdr:sp macro="" textlink="">
      <xdr:nvSpPr>
        <xdr:cNvPr id="13" name="Efectivo" descr="&quot;&quot;" title="Color del gráfico de efectivo">
          <a:extLst>
            <a:ext uri="{FF2B5EF4-FFF2-40B4-BE49-F238E27FC236}">
              <a16:creationId xmlns:a16="http://schemas.microsoft.com/office/drawing/2014/main" id="{EF9E2434-1310-4BFE-ACB9-9F2529BEC22E}"/>
            </a:ext>
          </a:extLst>
        </xdr:cNvPr>
        <xdr:cNvSpPr/>
      </xdr:nvSpPr>
      <xdr:spPr>
        <a:xfrm>
          <a:off x="3184525" y="3709786"/>
          <a:ext cx="182880" cy="182880"/>
        </a:xfrm>
        <a:prstGeom prst="rect">
          <a:avLst/>
        </a:prstGeom>
        <a:solidFill>
          <a:schemeClr val="accent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13</xdr:row>
      <xdr:rowOff>98266</xdr:rowOff>
    </xdr:from>
    <xdr:to>
      <xdr:col>6</xdr:col>
      <xdr:colOff>338455</xdr:colOff>
      <xdr:row>13</xdr:row>
      <xdr:rowOff>281146</xdr:rowOff>
    </xdr:to>
    <xdr:sp macro="" textlink="">
      <xdr:nvSpPr>
        <xdr:cNvPr id="14" name="Inversiones" descr="&quot;&quot;" title="Color del gráfico de inversiones">
          <a:extLst>
            <a:ext uri="{FF2B5EF4-FFF2-40B4-BE49-F238E27FC236}">
              <a16:creationId xmlns:a16="http://schemas.microsoft.com/office/drawing/2014/main" id="{2A92CD69-A5BD-4A03-A6A5-8A43C61F300F}"/>
            </a:ext>
          </a:extLst>
        </xdr:cNvPr>
        <xdr:cNvSpPr/>
      </xdr:nvSpPr>
      <xdr:spPr>
        <a:xfrm>
          <a:off x="3184525" y="4079716"/>
          <a:ext cx="182880" cy="182880"/>
        </a:xfrm>
        <a:prstGeom prst="rect">
          <a:avLst/>
        </a:prstGeom>
        <a:solidFill>
          <a:schemeClr val="accent3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14</xdr:row>
      <xdr:rowOff>115772</xdr:rowOff>
    </xdr:from>
    <xdr:to>
      <xdr:col>6</xdr:col>
      <xdr:colOff>338455</xdr:colOff>
      <xdr:row>14</xdr:row>
      <xdr:rowOff>298652</xdr:rowOff>
    </xdr:to>
    <xdr:sp macro="" textlink="">
      <xdr:nvSpPr>
        <xdr:cNvPr id="15" name="Jubilación" descr="&quot;&quot;" title="Color del gráfico de jubilaciones">
          <a:extLst>
            <a:ext uri="{FF2B5EF4-FFF2-40B4-BE49-F238E27FC236}">
              <a16:creationId xmlns:a16="http://schemas.microsoft.com/office/drawing/2014/main" id="{46D92E0F-A559-478E-94D5-86D919B372D6}"/>
            </a:ext>
          </a:extLst>
        </xdr:cNvPr>
        <xdr:cNvSpPr/>
      </xdr:nvSpPr>
      <xdr:spPr>
        <a:xfrm>
          <a:off x="3184525" y="4487747"/>
          <a:ext cx="182880" cy="182880"/>
        </a:xfrm>
        <a:prstGeom prst="rect">
          <a:avLst/>
        </a:prstGeom>
        <a:solidFill>
          <a:schemeClr val="accent5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15</xdr:row>
      <xdr:rowOff>85652</xdr:rowOff>
    </xdr:from>
    <xdr:to>
      <xdr:col>6</xdr:col>
      <xdr:colOff>338455</xdr:colOff>
      <xdr:row>15</xdr:row>
      <xdr:rowOff>268532</xdr:rowOff>
    </xdr:to>
    <xdr:sp macro="" textlink="">
      <xdr:nvSpPr>
        <xdr:cNvPr id="16" name="Personal" descr="&quot;&quot;" title="Color del gráfico de importes personales">
          <a:extLst>
            <a:ext uri="{FF2B5EF4-FFF2-40B4-BE49-F238E27FC236}">
              <a16:creationId xmlns:a16="http://schemas.microsoft.com/office/drawing/2014/main" id="{2A153F69-1DBC-473B-9882-FCB6A9BA7D82}"/>
            </a:ext>
          </a:extLst>
        </xdr:cNvPr>
        <xdr:cNvSpPr/>
      </xdr:nvSpPr>
      <xdr:spPr>
        <a:xfrm>
          <a:off x="3184525" y="4848152"/>
          <a:ext cx="182880" cy="182880"/>
        </a:xfrm>
        <a:prstGeom prst="rect">
          <a:avLst/>
        </a:prstGeom>
        <a:solidFill>
          <a:schemeClr val="accent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16</xdr:row>
      <xdr:rowOff>85652</xdr:rowOff>
    </xdr:from>
    <xdr:to>
      <xdr:col>6</xdr:col>
      <xdr:colOff>338455</xdr:colOff>
      <xdr:row>16</xdr:row>
      <xdr:rowOff>268532</xdr:rowOff>
    </xdr:to>
    <xdr:sp macro="" textlink="">
      <xdr:nvSpPr>
        <xdr:cNvPr id="19" name="Personal" descr="&quot;&quot;" title="Color del gráfico de importes personales">
          <a:extLst>
            <a:ext uri="{FF2B5EF4-FFF2-40B4-BE49-F238E27FC236}">
              <a16:creationId xmlns:a16="http://schemas.microsoft.com/office/drawing/2014/main" id="{8A6FF8C0-5119-41CC-9C02-6E0F099671C6}"/>
            </a:ext>
          </a:extLst>
        </xdr:cNvPr>
        <xdr:cNvSpPr/>
      </xdr:nvSpPr>
      <xdr:spPr>
        <a:xfrm>
          <a:off x="3184525" y="5238677"/>
          <a:ext cx="182880" cy="182880"/>
        </a:xfrm>
        <a:prstGeom prst="rect">
          <a:avLst/>
        </a:prstGeom>
        <a:solidFill>
          <a:schemeClr val="accent2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17</xdr:row>
      <xdr:rowOff>85652</xdr:rowOff>
    </xdr:from>
    <xdr:to>
      <xdr:col>6</xdr:col>
      <xdr:colOff>338455</xdr:colOff>
      <xdr:row>17</xdr:row>
      <xdr:rowOff>268532</xdr:rowOff>
    </xdr:to>
    <xdr:sp macro="" textlink="">
      <xdr:nvSpPr>
        <xdr:cNvPr id="21" name="Personal" descr="&quot;&quot;" title="Color del gráfico de importes personales">
          <a:extLst>
            <a:ext uri="{FF2B5EF4-FFF2-40B4-BE49-F238E27FC236}">
              <a16:creationId xmlns:a16="http://schemas.microsoft.com/office/drawing/2014/main" id="{FD48DC44-75FD-4551-8597-15936496F64A}"/>
            </a:ext>
          </a:extLst>
        </xdr:cNvPr>
        <xdr:cNvSpPr/>
      </xdr:nvSpPr>
      <xdr:spPr>
        <a:xfrm>
          <a:off x="3184525" y="5553002"/>
          <a:ext cx="182880" cy="18288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155575</xdr:colOff>
      <xdr:row>18</xdr:row>
      <xdr:rowOff>85652</xdr:rowOff>
    </xdr:from>
    <xdr:to>
      <xdr:col>6</xdr:col>
      <xdr:colOff>338455</xdr:colOff>
      <xdr:row>18</xdr:row>
      <xdr:rowOff>268532</xdr:rowOff>
    </xdr:to>
    <xdr:sp macro="" textlink="">
      <xdr:nvSpPr>
        <xdr:cNvPr id="22" name="Personal" descr="&quot;&quot;" title="Color del gráfico de importes personales">
          <a:extLst>
            <a:ext uri="{FF2B5EF4-FFF2-40B4-BE49-F238E27FC236}">
              <a16:creationId xmlns:a16="http://schemas.microsoft.com/office/drawing/2014/main" id="{C30363F5-9FC5-40D4-99F2-D1F6ECDC88EE}"/>
            </a:ext>
          </a:extLst>
        </xdr:cNvPr>
        <xdr:cNvSpPr/>
      </xdr:nvSpPr>
      <xdr:spPr>
        <a:xfrm>
          <a:off x="3184525" y="5867327"/>
          <a:ext cx="182880" cy="182880"/>
        </a:xfrm>
        <a:prstGeom prst="rect">
          <a:avLst/>
        </a:prstGeom>
        <a:solidFill>
          <a:schemeClr val="accent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104775</xdr:colOff>
      <xdr:row>2</xdr:row>
      <xdr:rowOff>176213</xdr:rowOff>
    </xdr:from>
    <xdr:to>
      <xdr:col>1</xdr:col>
      <xdr:colOff>2605088</xdr:colOff>
      <xdr:row>9</xdr:row>
      <xdr:rowOff>100013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4" name="Gráfico 23">
              <a:extLst>
                <a:ext uri="{FF2B5EF4-FFF2-40B4-BE49-F238E27FC236}">
                  <a16:creationId xmlns:a16="http://schemas.microsoft.com/office/drawing/2014/main" id="{1FCBDD15-1683-46E4-B79E-DE9F58E3FF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775" y="776288"/>
              <a:ext cx="2662238" cy="1790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704662</xdr:colOff>
      <xdr:row>2</xdr:row>
      <xdr:rowOff>381000</xdr:rowOff>
    </xdr:from>
    <xdr:to>
      <xdr:col>1</xdr:col>
      <xdr:colOff>2533462</xdr:colOff>
      <xdr:row>10</xdr:row>
      <xdr:rowOff>104775</xdr:rowOff>
    </xdr:to>
    <xdr:graphicFrame macro="">
      <xdr:nvGraphicFramePr>
        <xdr:cNvPr id="10" name="Total Assets" descr="Gráfico de anillos que muestra un resumen de los activos" title="Sumario del total de bienes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815527</xdr:colOff>
      <xdr:row>15</xdr:row>
      <xdr:rowOff>114300</xdr:rowOff>
    </xdr:from>
    <xdr:to>
      <xdr:col>1</xdr:col>
      <xdr:colOff>2402086</xdr:colOff>
      <xdr:row>16</xdr:row>
      <xdr:rowOff>152400</xdr:rowOff>
    </xdr:to>
    <xdr:sp macro="" textlink="">
      <xdr:nvSpPr>
        <xdr:cNvPr id="13" name="View Liabilities" descr="Haga clic para ver y modificar los pasivos" title="Ver pasivos">
          <a:hlinkClick xmlns:r="http://schemas.openxmlformats.org/officeDocument/2006/relationships" r:id="rId2" tooltip="Haga clic para ver y modificar los pasivos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977452" y="4010025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I9B1a</a:t>
          </a:r>
          <a:endParaRPr lang="en-US" sz="1050" spc="150">
            <a:effectLst/>
          </a:endParaRPr>
        </a:p>
      </xdr:txBody>
    </xdr:sp>
    <xdr:clientData fPrintsWithSheet="0"/>
  </xdr:twoCellAnchor>
  <xdr:twoCellAnchor>
    <xdr:from>
      <xdr:col>1</xdr:col>
      <xdr:colOff>815527</xdr:colOff>
      <xdr:row>17</xdr:row>
      <xdr:rowOff>19050</xdr:rowOff>
    </xdr:from>
    <xdr:to>
      <xdr:col>1</xdr:col>
      <xdr:colOff>2402086</xdr:colOff>
      <xdr:row>18</xdr:row>
      <xdr:rowOff>57150</xdr:rowOff>
    </xdr:to>
    <xdr:sp macro="" textlink="">
      <xdr:nvSpPr>
        <xdr:cNvPr id="14" name="View Dashboard" descr="Haga clic para volver al panel" title="Ver Panel">
          <a:hlinkClick xmlns:r="http://schemas.openxmlformats.org/officeDocument/2006/relationships" r:id="rId3" tooltip="Haga clic para volver al panel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977452" y="4362450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PANEL</a:t>
          </a:r>
          <a:endParaRPr lang="en-US" sz="1050"/>
        </a:p>
      </xdr:txBody>
    </xdr:sp>
    <xdr:clientData fPrintsWithSheet="0"/>
  </xdr:twoCellAnchor>
  <xdr:twoCellAnchor>
    <xdr:from>
      <xdr:col>13</xdr:col>
      <xdr:colOff>100706</xdr:colOff>
      <xdr:row>8</xdr:row>
      <xdr:rowOff>228599</xdr:rowOff>
    </xdr:from>
    <xdr:to>
      <xdr:col>16</xdr:col>
      <xdr:colOff>366712</xdr:colOff>
      <xdr:row>12</xdr:row>
      <xdr:rowOff>142874</xdr:rowOff>
    </xdr:to>
    <xdr:grpSp>
      <xdr:nvGrpSpPr>
        <xdr:cNvPr id="5" name="Group 4" descr="¿Necesita más filas? En la última celda situada encima del valor Subtotal, presione la tecla TAB. " title="Sugerencia de introducción de datos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pSpPr/>
      </xdr:nvGrpSpPr>
      <xdr:grpSpPr>
        <a:xfrm>
          <a:off x="14569181" y="2457449"/>
          <a:ext cx="1580456" cy="866775"/>
          <a:chOff x="9910722" y="2775599"/>
          <a:chExt cx="1309241" cy="693726"/>
        </a:xfrm>
      </xdr:grpSpPr>
      <xdr:sp macro="" textlink="">
        <xdr:nvSpPr>
          <xdr:cNvPr id="2" name="Line Callout 2 (Accent Bar) 1">
            <a:extLst>
              <a:ext uri="{FF2B5EF4-FFF2-40B4-BE49-F238E27FC236}">
                <a16:creationId xmlns:a16="http://schemas.microsoft.com/office/drawing/2014/main" id="{00000000-0008-0000-0100-000002000000}"/>
              </a:ext>
            </a:extLst>
          </xdr:cNvPr>
          <xdr:cNvSpPr/>
        </xdr:nvSpPr>
        <xdr:spPr>
          <a:xfrm>
            <a:off x="10020230" y="2775599"/>
            <a:ext cx="1199733" cy="691014"/>
          </a:xfrm>
          <a:prstGeom prst="accentCallout2">
            <a:avLst>
              <a:gd name="adj1" fmla="val 45139"/>
              <a:gd name="adj2" fmla="val -9166"/>
              <a:gd name="adj3" fmla="val 45112"/>
              <a:gd name="adj4" fmla="val -17089"/>
              <a:gd name="adj5" fmla="val 45208"/>
              <a:gd name="adj6" fmla="val -35991"/>
            </a:avLst>
          </a:prstGeom>
          <a:noFill/>
          <a:ln w="15875">
            <a:solidFill>
              <a:schemeClr val="accent4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tIns="82296" bIns="45720" rtlCol="0" anchor="t"/>
          <a:lstStyle/>
          <a:p>
            <a:pPr algn="l"/>
            <a:r>
              <a:rPr lang="en-US" sz="900">
                <a:solidFill>
                  <a:schemeClr val="tx1"/>
                </a:solidFill>
              </a:rPr>
              <a:t>¿Necesita más filas?</a:t>
            </a:r>
          </a:p>
          <a:p>
            <a:pPr algn="l"/>
            <a:r>
              <a:rPr lang="en-US" sz="900">
                <a:solidFill>
                  <a:schemeClr val="tx1"/>
                </a:solidFill>
              </a:rPr>
              <a:t>En la última celda encima del valor Subtotal, presione </a:t>
            </a:r>
          </a:p>
          <a:p>
            <a:pPr algn="l"/>
            <a:r>
              <a:rPr lang="en-US" sz="900">
                <a:solidFill>
                  <a:schemeClr val="tx1"/>
                </a:solidFill>
              </a:rPr>
              <a:t>la tecla TAB.</a:t>
            </a:r>
          </a:p>
        </xdr:txBody>
      </xdr:sp>
      <xdr:cxnSp macro="">
        <xdr:nvCxnSpPr>
          <xdr:cNvPr id="4" name="Straight Connector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CxnSpPr/>
        </xdr:nvCxnSpPr>
        <xdr:spPr>
          <a:xfrm>
            <a:off x="9910722" y="2777546"/>
            <a:ext cx="0" cy="691779"/>
          </a:xfrm>
          <a:prstGeom prst="line">
            <a:avLst/>
          </a:prstGeom>
          <a:ln w="20320">
            <a:solidFill>
              <a:schemeClr val="accent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700322</xdr:colOff>
      <xdr:row>2</xdr:row>
      <xdr:rowOff>419100</xdr:rowOff>
    </xdr:from>
    <xdr:to>
      <xdr:col>1</xdr:col>
      <xdr:colOff>2529122</xdr:colOff>
      <xdr:row>10</xdr:row>
      <xdr:rowOff>142874</xdr:rowOff>
    </xdr:to>
    <xdr:graphicFrame macro="">
      <xdr:nvGraphicFramePr>
        <xdr:cNvPr id="17" name="Total Liabilities" descr="Gráfico de anillos que muestra un resumen de los pasivos" title="Sumario de responsabilidad total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819150</xdr:colOff>
      <xdr:row>15</xdr:row>
      <xdr:rowOff>114300</xdr:rowOff>
    </xdr:from>
    <xdr:to>
      <xdr:col>1</xdr:col>
      <xdr:colOff>2405709</xdr:colOff>
      <xdr:row>16</xdr:row>
      <xdr:rowOff>152400</xdr:rowOff>
    </xdr:to>
    <xdr:sp macro="" textlink="">
      <xdr:nvSpPr>
        <xdr:cNvPr id="5" name="View Assets" descr="Click to view and modify assets" title="Ver activos">
          <a:hlinkClick xmlns:r="http://schemas.openxmlformats.org/officeDocument/2006/relationships" r:id="rId2" tooltip="Haga clic para ver y modificar los activos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81075" y="3981450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I91c</a:t>
          </a:r>
          <a:endParaRPr lang="en-US" sz="1050" spc="150">
            <a:effectLst/>
          </a:endParaRPr>
        </a:p>
      </xdr:txBody>
    </xdr:sp>
    <xdr:clientData fPrintsWithSheet="0"/>
  </xdr:twoCellAnchor>
  <xdr:twoCellAnchor>
    <xdr:from>
      <xdr:col>1</xdr:col>
      <xdr:colOff>819150</xdr:colOff>
      <xdr:row>17</xdr:row>
      <xdr:rowOff>19050</xdr:rowOff>
    </xdr:from>
    <xdr:to>
      <xdr:col>1</xdr:col>
      <xdr:colOff>2405709</xdr:colOff>
      <xdr:row>18</xdr:row>
      <xdr:rowOff>57150</xdr:rowOff>
    </xdr:to>
    <xdr:sp macro="" textlink="">
      <xdr:nvSpPr>
        <xdr:cNvPr id="6" name="View Dashboard" descr="Click to return to the Dashboard" title="Ver Panel">
          <a:hlinkClick xmlns:r="http://schemas.openxmlformats.org/officeDocument/2006/relationships" r:id="rId3" tooltip="Haga clic para volver al panel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1075" y="4362450"/>
          <a:ext cx="1586559" cy="276225"/>
        </a:xfrm>
        <a:prstGeom prst="roundRect">
          <a:avLst/>
        </a:prstGeom>
        <a:solidFill>
          <a:schemeClr val="accent4">
            <a:lumMod val="75000"/>
          </a:schemeClr>
        </a:solidFill>
        <a:ln w="19050"/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0" spc="15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VER PANEL</a:t>
          </a:r>
          <a:endParaRPr lang="en-US" sz="1050"/>
        </a:p>
      </xdr:txBody>
    </xdr:sp>
    <xdr:clientData fPrintsWithSheet="0"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shboard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</sheetNames>
    <sheetDataSet>
      <sheetData sheetId="0" refreshError="1"/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utor" refreshedDate="46183.369344212966" backgroundQuery="1" createdVersion="8" refreshedVersion="8" minRefreshableVersion="3" recordCount="0" supportSubquery="1" supportAdvancedDrill="1" xr:uid="{CAD33BB2-2F8C-43B7-BF2C-47B153143295}">
  <cacheSource type="external" connectionId="2"/>
  <cacheFields count="3">
    <cacheField name="[Datos].[T.Nombrto].[T.Nombrto]" caption="T.Nombrto" numFmtId="0" hierarchy="8" level="1">
      <sharedItems containsSemiMixedTypes="0" containsNonDate="0" containsString="0"/>
    </cacheField>
    <cacheField name="[Datos].[Dirección].[Dirección]" caption="Dirección" numFmtId="0" hierarchy="12" level="1">
      <sharedItems count="7">
        <s v="DIRECCIÓN DE ENFERMERÍA"/>
        <s v="DIRECCIÓN DE INGENIERÍA, INFRAESTRUCTURAS Y TEC."/>
        <s v="DIRECCIÓN DE PLANIFIFCACIÓN Y GESTIÓN DE RR.EE."/>
        <s v="DIRECCIÓN DE RR.HH."/>
        <s v="DIRECCIÓN DE SERVICIOS GENERALES"/>
        <s v="DIRECCIÓN MÉDICA"/>
        <s v="GERENCIA"/>
      </sharedItems>
    </cacheField>
    <cacheField name="[Measures].[Suma de Días]" caption="Suma de Días" numFmtId="0" hierarchy="17" level="32767"/>
  </cacheFields>
  <cacheHierarchies count="19">
    <cacheHierarchy uniqueName="[Datos].[NºPer.]" caption="NºPer." attribute="1" defaultMemberUniqueName="[Datos].[NºPer.].[All]" allUniqueName="[Datos].[NºPer.].[All]" dimensionUniqueName="[Datos]" displayFolder="" count="0" memberValueDatatype="20" unbalanced="0"/>
    <cacheHierarchy uniqueName="[Datos].[Desde*]" caption="Desde*" attribute="1" time="1" defaultMemberUniqueName="[Datos].[Desde*].[All]" allUniqueName="[Datos].[Desde*].[All]" dimensionUniqueName="[Datos]" displayFolder="" count="0" memberValueDatatype="7" unbalanced="0"/>
    <cacheHierarchy uniqueName="[Datos].[Hasta*]" caption="Hasta*" attribute="1" defaultMemberUniqueName="[Datos].[Hasta*].[All]" allUniqueName="[Datos].[Hasta*].[All]" dimensionUniqueName="[Datos]" displayFolder="" count="0" memberValueDatatype="20" unbalanced="0"/>
    <cacheHierarchy uniqueName="[Datos].[Nombrto/Contrato]" caption="Nombrto/Contrato" attribute="1" defaultMemberUniqueName="[Datos].[Nombrto/Contrato].[All]" allUniqueName="[Datos].[Nombrto/Contrato].[All]" dimensionUniqueName="[Datos]" displayFolder="" count="0" memberValueDatatype="130" unbalanced="0"/>
    <cacheHierarchy uniqueName="[Datos].[Razón de Alta]" caption="Razón de Alta" attribute="1" defaultMemberUniqueName="[Datos].[Razón de Alta].[All]" allUniqueName="[Datos].[Razón de Alta].[All]" dimensionUniqueName="[Datos]" displayFolder="" count="0" memberValueDatatype="130" unbalanced="0"/>
    <cacheHierarchy uniqueName="[Datos].[Plaza]" caption="Plaza" attribute="1" defaultMemberUniqueName="[Datos].[Plaza].[All]" allUniqueName="[Datos].[Plaza].[All]" dimensionUniqueName="[Datos]" displayFolder="" count="0" memberValueDatatype="130" unbalanced="0"/>
    <cacheHierarchy uniqueName="[Datos].[RJ]" caption="RJ" attribute="1" defaultMemberUniqueName="[Datos].[RJ].[All]" allUniqueName="[Datos].[RJ].[All]" dimensionUniqueName="[Datos]" displayFolder="" count="0" memberValueDatatype="130" unbalanced="0"/>
    <cacheHierarchy uniqueName="[Datos].[Cláusula]" caption="Cláusula" attribute="1" defaultMemberUniqueName="[Datos].[Cláusula].[All]" allUniqueName="[Datos].[Cláusula].[All]" dimensionUniqueName="[Datos]" displayFolder="" count="0" memberValueDatatype="130" unbalanced="0"/>
    <cacheHierarchy uniqueName="[Datos].[T.Nombrto]" caption="T.Nombrto" attribute="1" defaultMemberUniqueName="[Datos].[T.Nombrto].[All]" allUniqueName="[Datos].[T.Nombrto].[All]" dimensionUniqueName="[Datos]" displayFolder="" count="2" memberValueDatatype="130" unbalanced="0">
      <fieldsUsage count="2">
        <fieldUsage x="-1"/>
        <fieldUsage x="0"/>
      </fieldsUsage>
    </cacheHierarchy>
    <cacheHierarchy uniqueName="[Datos].[Días]" caption="Días" attribute="1" defaultMemberUniqueName="[Datos].[Días].[All]" allUniqueName="[Datos].[Días].[All]" dimensionUniqueName="[Datos]" displayFolder="" count="0" memberValueDatatype="20" unbalanced="0"/>
    <cacheHierarchy uniqueName="[Datos].[Puesto trabajo]" caption="Puesto trabajo" attribute="1" defaultMemberUniqueName="[Datos].[Puesto trabajo].[All]" allUniqueName="[Datos].[Puesto trabajo].[All]" dimensionUniqueName="[Datos]" displayFolder="" count="0" memberValueDatatype="130" unbalanced="0"/>
    <cacheHierarchy uniqueName="[Datos].[GFH]" caption="GFH" attribute="1" defaultMemberUniqueName="[Datos].[GFH].[All]" allUniqueName="[Datos].[GFH].[All]" dimensionUniqueName="[Datos]" displayFolder="" count="0" memberValueDatatype="130" unbalanced="0"/>
    <cacheHierarchy uniqueName="[Datos].[Dirección]" caption="Dirección" attribute="1" defaultMemberUniqueName="[Datos].[Dirección].[All]" allUniqueName="[Datos].[Dirección].[All]" dimensionUniqueName="[Datos]" displayFolder="" count="2" memberValueDatatype="130" unbalanced="0">
      <fieldsUsage count="2">
        <fieldUsage x="-1"/>
        <fieldUsage x="1"/>
      </fieldsUsage>
    </cacheHierarchy>
    <cacheHierarchy uniqueName="[Datos].[Puesto Sustitutido]" caption="Puesto Sustitutido" attribute="1" defaultMemberUniqueName="[Datos].[Puesto Sustitutido].[All]" allUniqueName="[Datos].[Puesto Sustitutido].[All]" dimensionUniqueName="[Datos]" displayFolder="" count="0" memberValueDatatype="130" unbalanced="0"/>
    <cacheHierarchy uniqueName="[Datos].[Necesidad]" caption="Necesidad" attribute="1" defaultMemberUniqueName="[Datos].[Necesidad].[All]" allUniqueName="[Datos].[Necesidad].[All]" dimensionUniqueName="[Datos]" displayFolder="" count="0" memberValueDatatype="20" unbalanced="0"/>
    <cacheHierarchy uniqueName="[Measures].[__XL_Count Datos]" caption="__XL_Count Datos" measure="1" displayFolder="" measureGroup="Datos" count="0" hidden="1"/>
    <cacheHierarchy uniqueName="[Measures].[__No measures defined]" caption="__No measures defined" measure="1" displayFolder="" count="0" hidden="1"/>
    <cacheHierarchy uniqueName="[Measures].[Suma de Días]" caption="Suma de Días" measure="1" displayFolder="" measureGroup="Dat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Necesidad]" caption="Suma de Necesidad" measure="1" displayFolder="" measureGroup="Dato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os" uniqueName="[Datos]" caption="Datos"/>
    <dimension measure="1" name="Measures" uniqueName="[Measures]" caption="Measures"/>
  </dimensions>
  <measureGroups count="1">
    <measureGroup name="Datos" caption="Dato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utor" refreshedDate="46183.369807407405" backgroundQuery="1" createdVersion="8" refreshedVersion="8" minRefreshableVersion="3" recordCount="0" supportSubquery="1" supportAdvancedDrill="1" xr:uid="{9F3256DB-5FC7-4961-B592-49A4A02CFA90}">
  <cacheSource type="external" connectionId="2"/>
  <cacheFields count="4">
    <cacheField name="[Datos].[T.Nombrto].[T.Nombrto]" caption="T.Nombrto" numFmtId="0" hierarchy="8" level="1">
      <sharedItems containsSemiMixedTypes="0" containsNonDate="0" containsString="0"/>
    </cacheField>
    <cacheField name="[Datos].[Dirección].[Dirección]" caption="Dirección" numFmtId="0" hierarchy="12" level="1">
      <sharedItems count="7">
        <s v="DIRECCIÓN DE ENFERMERÍA"/>
        <s v="DIRECCIÓN DE INGENIERÍA, INFRAESTRUCTURAS Y TEC."/>
        <s v="DIRECCIÓN DE PLANIFIFCACIÓN Y GESTIÓN DE RR.EE."/>
        <s v="DIRECCIÓN DE RR.HH."/>
        <s v="DIRECCIÓN DE SERVICIOS GENERALES"/>
        <s v="DIRECCIÓN MÉDICA"/>
        <s v="GERENCIA"/>
      </sharedItems>
    </cacheField>
    <cacheField name="[Measures].[Suma de Días]" caption="Suma de Días" numFmtId="0" hierarchy="17" level="32767"/>
    <cacheField name="[Measures].[Suma de Necesidad]" caption="Suma de Necesidad" numFmtId="0" hierarchy="18" level="32767"/>
  </cacheFields>
  <cacheHierarchies count="19">
    <cacheHierarchy uniqueName="[Datos].[NºPer.]" caption="NºPer." attribute="1" defaultMemberUniqueName="[Datos].[NºPer.].[All]" allUniqueName="[Datos].[NºPer.].[All]" dimensionUniqueName="[Datos]" displayFolder="" count="0" memberValueDatatype="20" unbalanced="0"/>
    <cacheHierarchy uniqueName="[Datos].[Desde*]" caption="Desde*" attribute="1" time="1" defaultMemberUniqueName="[Datos].[Desde*].[All]" allUniqueName="[Datos].[Desde*].[All]" dimensionUniqueName="[Datos]" displayFolder="" count="0" memberValueDatatype="7" unbalanced="0"/>
    <cacheHierarchy uniqueName="[Datos].[Hasta*]" caption="Hasta*" attribute="1" defaultMemberUniqueName="[Datos].[Hasta*].[All]" allUniqueName="[Datos].[Hasta*].[All]" dimensionUniqueName="[Datos]" displayFolder="" count="0" memberValueDatatype="20" unbalanced="0"/>
    <cacheHierarchy uniqueName="[Datos].[Nombrto/Contrato]" caption="Nombrto/Contrato" attribute="1" defaultMemberUniqueName="[Datos].[Nombrto/Contrato].[All]" allUniqueName="[Datos].[Nombrto/Contrato].[All]" dimensionUniqueName="[Datos]" displayFolder="" count="0" memberValueDatatype="130" unbalanced="0"/>
    <cacheHierarchy uniqueName="[Datos].[Razón de Alta]" caption="Razón de Alta" attribute="1" defaultMemberUniqueName="[Datos].[Razón de Alta].[All]" allUniqueName="[Datos].[Razón de Alta].[All]" dimensionUniqueName="[Datos]" displayFolder="" count="0" memberValueDatatype="130" unbalanced="0"/>
    <cacheHierarchy uniqueName="[Datos].[Plaza]" caption="Plaza" attribute="1" defaultMemberUniqueName="[Datos].[Plaza].[All]" allUniqueName="[Datos].[Plaza].[All]" dimensionUniqueName="[Datos]" displayFolder="" count="0" memberValueDatatype="130" unbalanced="0"/>
    <cacheHierarchy uniqueName="[Datos].[RJ]" caption="RJ" attribute="1" defaultMemberUniqueName="[Datos].[RJ].[All]" allUniqueName="[Datos].[RJ].[All]" dimensionUniqueName="[Datos]" displayFolder="" count="0" memberValueDatatype="130" unbalanced="0"/>
    <cacheHierarchy uniqueName="[Datos].[Cláusula]" caption="Cláusula" attribute="1" defaultMemberUniqueName="[Datos].[Cláusula].[All]" allUniqueName="[Datos].[Cláusula].[All]" dimensionUniqueName="[Datos]" displayFolder="" count="0" memberValueDatatype="130" unbalanced="0"/>
    <cacheHierarchy uniqueName="[Datos].[T.Nombrto]" caption="T.Nombrto" attribute="1" defaultMemberUniqueName="[Datos].[T.Nombrto].[All]" allUniqueName="[Datos].[T.Nombrto].[All]" dimensionUniqueName="[Datos]" displayFolder="" count="2" memberValueDatatype="130" unbalanced="0">
      <fieldsUsage count="2">
        <fieldUsage x="-1"/>
        <fieldUsage x="0"/>
      </fieldsUsage>
    </cacheHierarchy>
    <cacheHierarchy uniqueName="[Datos].[Días]" caption="Días" attribute="1" defaultMemberUniqueName="[Datos].[Días].[All]" allUniqueName="[Datos].[Días].[All]" dimensionUniqueName="[Datos]" displayFolder="" count="0" memberValueDatatype="20" unbalanced="0"/>
    <cacheHierarchy uniqueName="[Datos].[Puesto trabajo]" caption="Puesto trabajo" attribute="1" defaultMemberUniqueName="[Datos].[Puesto trabajo].[All]" allUniqueName="[Datos].[Puesto trabajo].[All]" dimensionUniqueName="[Datos]" displayFolder="" count="0" memberValueDatatype="130" unbalanced="0"/>
    <cacheHierarchy uniqueName="[Datos].[GFH]" caption="GFH" attribute="1" defaultMemberUniqueName="[Datos].[GFH].[All]" allUniqueName="[Datos].[GFH].[All]" dimensionUniqueName="[Datos]" displayFolder="" count="0" memberValueDatatype="130" unbalanced="0"/>
    <cacheHierarchy uniqueName="[Datos].[Dirección]" caption="Dirección" attribute="1" defaultMemberUniqueName="[Datos].[Dirección].[All]" allUniqueName="[Datos].[Dirección].[All]" dimensionUniqueName="[Datos]" displayFolder="" count="2" memberValueDatatype="130" unbalanced="0">
      <fieldsUsage count="2">
        <fieldUsage x="-1"/>
        <fieldUsage x="1"/>
      </fieldsUsage>
    </cacheHierarchy>
    <cacheHierarchy uniqueName="[Datos].[Puesto Sustitutido]" caption="Puesto Sustitutido" attribute="1" defaultMemberUniqueName="[Datos].[Puesto Sustitutido].[All]" allUniqueName="[Datos].[Puesto Sustitutido].[All]" dimensionUniqueName="[Datos]" displayFolder="" count="0" memberValueDatatype="130" unbalanced="0"/>
    <cacheHierarchy uniqueName="[Datos].[Necesidad]" caption="Necesidad" attribute="1" defaultMemberUniqueName="[Datos].[Necesidad].[All]" allUniqueName="[Datos].[Necesidad].[All]" dimensionUniqueName="[Datos]" displayFolder="" count="0" memberValueDatatype="20" unbalanced="0"/>
    <cacheHierarchy uniqueName="[Measures].[__XL_Count Datos]" caption="__XL_Count Datos" measure="1" displayFolder="" measureGroup="Datos" count="0" hidden="1"/>
    <cacheHierarchy uniqueName="[Measures].[__No measures defined]" caption="__No measures defined" measure="1" displayFolder="" count="0" hidden="1"/>
    <cacheHierarchy uniqueName="[Measures].[Suma de Días]" caption="Suma de Días" measure="1" displayFolder="" measureGroup="Dat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Necesidad]" caption="Suma de Necesidad" measure="1" displayFolder="" measureGroup="Dato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os" uniqueName="[Datos]" caption="Datos"/>
    <dimension measure="1" name="Measures" uniqueName="[Measures]" caption="Measures"/>
  </dimensions>
  <measureGroups count="1">
    <measureGroup name="Datos" caption="Dato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7026ED-9768-46F5-A802-94E60C765A69}" name="TablaDinámica2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F11" firstHeaderRow="0" firstDataRow="1" firstDataCol="1" rowPageCount="1" colPageCount="1"/>
  <pivotFields count="4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8" name="[Datos].[T.Nombrto].&amp;[N91a]" cap="N91a"/>
  </pageFields>
  <dataFields count="2">
    <dataField name="Suma de Días" fld="2" baseField="0" baseItem="0" numFmtId="3"/>
    <dataField name="Suma de Necesidad" fld="3" baseField="0" baseItem="0"/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Datos">
        <x15:activeTabTopLevelEntity name="[D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981E7F-66C7-4B95-8E02-F6D096A17BE5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3:I11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0" hier="8" name="[Datos].[T.Nombrto].&amp;[N91a]" cap="N91a"/>
  </pageFields>
  <dataFields count="1">
    <dataField name="Suma de Días" fld="2" baseField="0" baseItem="0" numFmtId="3"/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Datos">
        <x15:activeTabTopLevelEntity name="[D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satope" displayName="Bolsatope" ref="C4:E12" totalsRowCount="1">
  <tableColumns count="3">
    <tableColumn id="3" xr3:uid="{00000000-0010-0000-0000-000003000000}" name=" " totalsRowDxfId="21"/>
    <tableColumn id="1" xr3:uid="{00000000-0010-0000-0000-000001000000}" name="Bolsa I91c" totalsRowLabel="SUBTOTAL" totalsRowDxfId="20"/>
    <tableColumn id="2" xr3:uid="{00000000-0010-0000-0000-000002000000}" name="Tope" totalsRowFunction="sum" dataDxfId="0" totalsRowDxfId="19"/>
  </tableColumns>
  <tableStyleInfo name="Cash Table" showFirstColumn="1" showLastColumn="0" showRowStripes="1" showColumnStripes="0"/>
  <extLst>
    <ext xmlns:x14="http://schemas.microsoft.com/office/spreadsheetml/2009/9/main" uri="{504A1905-F514-4f6f-8877-14C23A59335A}">
      <x14:table altText="Efectivo" altTextSummary="Descripción de cada activo de efectivo y su valor actual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Bolsausados" displayName="Bolsausados" ref="H4:L12" totalsRowCount="1">
  <tableColumns count="5">
    <tableColumn id="3" xr3:uid="{00000000-0010-0000-0300-000003000000}" name=" " totalsRowDxfId="18"/>
    <tableColumn id="1" xr3:uid="{00000000-0010-0000-0300-000001000000}" name="Bolsa I91c" totalsRowLabel="SUBTOTAL" totalsRowDxfId="17"/>
    <tableColumn id="2" xr3:uid="{00000000-0010-0000-0300-000002000000}" name="Usados" totalsRowFunction="sum" dataDxfId="16" totalsRowDxfId="15">
      <calculatedColumnFormula>VLOOKUP(Bolsausados[[#This Row],[Bolsa I91c]],Cálculos!$D$4:$F$10,2,FALSE)</calculatedColumnFormula>
    </tableColumn>
    <tableColumn id="4" xr3:uid="{0CB08945-4DDF-4E1C-8512-513863E295B8}" name="Resto" totalsRowFunction="sum" dataDxfId="14" totalsRowDxfId="13">
      <calculatedColumnFormula>Bolsatope[[#This Row],[Tope]]-Bolsausados[[#This Row],[Usados]]</calculatedColumnFormula>
    </tableColumn>
    <tableColumn id="5" xr3:uid="{7194E6F4-E15D-43F6-8DC7-0A539D234C75}" name="Necesidad" totalsRowFunction="sum" dataDxfId="12" totalsRowDxfId="11">
      <calculatedColumnFormula>VLOOKUP(Bolsausados[[#This Row],[Bolsa I91c]],Cálculos!$D$4:$F$10,3,FALSE)</calculatedColumnFormula>
    </tableColumn>
  </tableColumns>
  <tableStyleInfo name="Personal Table" showFirstColumn="1" showLastColumn="0" showRowStripes="1" showColumnStripes="0"/>
  <extLst>
    <ext xmlns:x14="http://schemas.microsoft.com/office/spreadsheetml/2009/9/main" uri="{504A1905-F514-4f6f-8877-14C23A59335A}">
      <x14:table altText="Personal" altTextSummary="Descripción de cada activo personal y su valor actual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blNoAsegurado" displayName="tblNoAsegurado" ref="C4:E12" totalsRowCount="1">
  <tableColumns count="3">
    <tableColumn id="3" xr3:uid="{00000000-0010-0000-0400-000003000000}" name=" " totalsRowDxfId="10"/>
    <tableColumn id="1" xr3:uid="{00000000-0010-0000-0400-000001000000}" name="BOLSA I9B1a" totalsRowLabel="SUBTOTAL" totalsRowDxfId="9"/>
    <tableColumn id="2" xr3:uid="{00000000-0010-0000-0400-000002000000}" name="Tope" totalsRowFunction="sum" dataDxfId="1" totalsRowDxfId="8"/>
  </tableColumns>
  <tableStyleInfo name="Unsecured Table" showFirstColumn="1" showLastColumn="0" showRowStripes="1" showColumnStripes="0"/>
  <extLst>
    <ext xmlns:x14="http://schemas.microsoft.com/office/spreadsheetml/2009/9/main" uri="{504A1905-F514-4f6f-8877-14C23A59335A}">
      <x14:table altText="No asegurado" altTextSummary="Descripción de cada pasivo no asegurado y su valor actual. 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Asegurado" displayName="tblAsegurado" ref="G4:J12" totalsRowCount="1">
  <tableColumns count="4">
    <tableColumn id="3" xr3:uid="{00000000-0010-0000-0500-000003000000}" name=" " totalsRowDxfId="7"/>
    <tableColumn id="1" xr3:uid="{00000000-0010-0000-0500-000001000000}" name="BOLSA I9B1a" totalsRowLabel="SUBTOTAL" totalsRowDxfId="6"/>
    <tableColumn id="2" xr3:uid="{00000000-0010-0000-0500-000002000000}" name="Usados" totalsRowFunction="sum" dataDxfId="5" totalsRowDxfId="4">
      <calculatedColumnFormula>VLOOKUP(tblAsegurado[[#This Row],[BOLSA I9B1a]],Cálculos!$H$4:$I$10,2,FALSE)</calculatedColumnFormula>
    </tableColumn>
    <tableColumn id="4" xr3:uid="{9A8D2212-9ADB-45BD-A1E3-6F84B50B9482}" name="Resto" totalsRowFunction="sum" dataDxfId="3" totalsRowDxfId="2"/>
  </tableColumns>
  <tableStyleInfo name="Secured Table" showFirstColumn="1" showLastColumn="0" showRowStripes="1" showColumnStripes="0"/>
  <extLst>
    <ext xmlns:x14="http://schemas.microsoft.com/office/spreadsheetml/2009/9/main" uri="{504A1905-F514-4f6f-8877-14C23A59335A}">
      <x14:table altText="Asegurado" altTextSummary="Descripción de cada pasivo asegurado y su valor actual. 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8E8FE82-E722-4F8D-9363-9A15A6FD7EDB}" name="Bolsatotaldirecciones10" displayName="Bolsatotaldirecciones10" ref="A1:B9" totalsRowShown="0">
  <autoFilter ref="A1:B9" xr:uid="{24AABF99-F4D0-4F41-AF9C-D7877C923C42}"/>
  <tableColumns count="2">
    <tableColumn id="1" xr3:uid="{5559E92D-E308-4164-BF91-24106587989B}" name="Bolsa "/>
    <tableColumn id="2" xr3:uid="{FE8CD7B1-5386-43F4-86EA-2BD55BA105B5}" name="Tope" dataDxfId="23"/>
  </tableColumns>
  <tableStyleInfo name="Investment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653A23A-1088-4E94-8B4D-2987119AA944}" name="Bolsatotal12" displayName="Bolsatotal12" ref="A14:B20" totalsRowShown="0">
  <autoFilter ref="A14:B20" xr:uid="{FF468DC0-8452-4CB1-AFF2-A9F2D846851A}"/>
  <tableColumns count="2">
    <tableColumn id="1" xr3:uid="{E84FA4F8-6364-4212-B60F-0FECA6794634}" name="Bolsa "/>
    <tableColumn id="2" xr3:uid="{C2803630-9CA7-4E23-8212-BE93ACE11707}" name="Tope" dataDxfId="22"/>
  </tableColumns>
  <tableStyleInfo name="Investment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030_NetWorthSumma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E63F51"/>
      </a:accent1>
      <a:accent2>
        <a:srgbClr val="F26722"/>
      </a:accent2>
      <a:accent3>
        <a:srgbClr val="FFBA00"/>
      </a:accent3>
      <a:accent4>
        <a:srgbClr val="86C040"/>
      </a:accent4>
      <a:accent5>
        <a:srgbClr val="4586C6"/>
      </a:accent5>
      <a:accent6>
        <a:srgbClr val="9D4775"/>
      </a:accent6>
      <a:hlink>
        <a:srgbClr val="4586C6"/>
      </a:hlink>
      <a:folHlink>
        <a:srgbClr val="9D4775"/>
      </a:folHlink>
    </a:clrScheme>
    <a:fontScheme name="Custom 15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/>
    <pageSetUpPr autoPageBreaks="0" fitToPage="1"/>
  </sheetPr>
  <dimension ref="B1:H19"/>
  <sheetViews>
    <sheetView topLeftCell="A3" zoomScaleNormal="100" workbookViewId="0">
      <selection activeCell="D11" sqref="D11"/>
    </sheetView>
  </sheetViews>
  <sheetFormatPr baseColWidth="10" defaultColWidth="8.85546875" defaultRowHeight="12.75" x14ac:dyDescent="0.25"/>
  <cols>
    <col min="1" max="1" width="2.42578125" customWidth="1"/>
    <col min="2" max="2" width="40.140625" customWidth="1"/>
    <col min="3" max="3" width="2.85546875" customWidth="1"/>
    <col min="4" max="4" width="46" bestFit="1" customWidth="1"/>
    <col min="5" max="5" width="2.85546875" customWidth="1"/>
    <col min="6" max="6" width="5.28515625" customWidth="1"/>
    <col min="7" max="7" width="46" bestFit="1" customWidth="1"/>
    <col min="8" max="8" width="2.42578125" customWidth="1"/>
  </cols>
  <sheetData>
    <row r="1" spans="2:8" ht="18.75" customHeight="1" x14ac:dyDescent="0.25">
      <c r="B1" s="1"/>
    </row>
    <row r="2" spans="2:8" ht="28.5" customHeight="1" thickBot="1" x14ac:dyDescent="0.5">
      <c r="B2" s="26" t="s">
        <v>3</v>
      </c>
      <c r="C2" s="3"/>
      <c r="D2" s="3"/>
      <c r="E2" s="3"/>
      <c r="F2" s="4"/>
      <c r="G2" s="36" t="s">
        <v>4</v>
      </c>
      <c r="H2" t="s">
        <v>1</v>
      </c>
    </row>
    <row r="3" spans="2:8" ht="34.5" customHeight="1" thickTop="1" x14ac:dyDescent="0.25">
      <c r="B3" s="1"/>
    </row>
    <row r="4" spans="2:8" ht="18.75" customHeight="1" x14ac:dyDescent="0.25">
      <c r="C4" s="8"/>
      <c r="E4" s="7"/>
    </row>
    <row r="5" spans="2:8" ht="18.75" customHeight="1" x14ac:dyDescent="0.25">
      <c r="C5" s="8"/>
      <c r="E5" s="7"/>
    </row>
    <row r="6" spans="2:8" ht="18.75" customHeight="1" x14ac:dyDescent="0.25">
      <c r="C6" s="8"/>
      <c r="E6" s="7"/>
    </row>
    <row r="7" spans="2:8" ht="18.75" customHeight="1" x14ac:dyDescent="0.25">
      <c r="C7" s="8"/>
      <c r="E7" s="7"/>
    </row>
    <row r="8" spans="2:8" ht="18.75" customHeight="1" x14ac:dyDescent="0.25">
      <c r="C8" s="8"/>
      <c r="E8" s="7"/>
    </row>
    <row r="9" spans="2:8" ht="18.75" customHeight="1" x14ac:dyDescent="0.25">
      <c r="C9" s="8"/>
      <c r="E9" s="7"/>
    </row>
    <row r="10" spans="2:8" x14ac:dyDescent="0.25">
      <c r="C10" s="8"/>
      <c r="E10" s="7"/>
    </row>
    <row r="11" spans="2:8" ht="42.75" customHeight="1" thickBot="1" x14ac:dyDescent="1">
      <c r="B11" s="49">
        <f>125215+464271</f>
        <v>589486</v>
      </c>
      <c r="C11" s="33"/>
      <c r="D11" s="49" cm="1">
        <f t="array" ref="D11">TopeI91c</f>
        <v>125216</v>
      </c>
      <c r="E11" s="34"/>
      <c r="F11" s="35"/>
      <c r="G11" s="49" cm="1">
        <f t="array" ref="G11">TopeI9B1a</f>
        <v>465270</v>
      </c>
    </row>
    <row r="12" spans="2:8" ht="33.75" customHeight="1" x14ac:dyDescent="0.5">
      <c r="B12" s="17" t="s">
        <v>5</v>
      </c>
      <c r="C12" s="13"/>
      <c r="D12" s="50" t="s">
        <v>29</v>
      </c>
      <c r="E12" s="11"/>
      <c r="F12" s="9"/>
      <c r="G12" s="50" t="s">
        <v>36</v>
      </c>
    </row>
    <row r="13" spans="2:8" ht="30.75" customHeight="1" thickBot="1" x14ac:dyDescent="0.35">
      <c r="C13" s="8"/>
      <c r="D13" s="18" t="s">
        <v>11</v>
      </c>
      <c r="E13" s="14"/>
      <c r="F13" s="15"/>
      <c r="G13" s="18" t="s">
        <v>11</v>
      </c>
    </row>
    <row r="14" spans="2:8" ht="30.75" customHeight="1" thickBot="1" x14ac:dyDescent="0.35">
      <c r="C14" s="8"/>
      <c r="D14" s="19" t="s">
        <v>18</v>
      </c>
      <c r="E14" s="14"/>
      <c r="F14" s="15"/>
      <c r="G14" s="19" t="s">
        <v>18</v>
      </c>
    </row>
    <row r="15" spans="2:8" ht="30.75" customHeight="1" thickBot="1" x14ac:dyDescent="0.35">
      <c r="C15" s="8"/>
      <c r="D15" s="19" t="s">
        <v>30</v>
      </c>
      <c r="E15" s="14"/>
      <c r="F15" s="15"/>
      <c r="G15" s="19" t="s">
        <v>30</v>
      </c>
    </row>
    <row r="16" spans="2:8" ht="30.75" customHeight="1" thickBot="1" x14ac:dyDescent="0.35">
      <c r="C16" s="8"/>
      <c r="D16" s="19" t="s">
        <v>12</v>
      </c>
      <c r="E16" s="14"/>
      <c r="F16" s="15"/>
      <c r="G16" s="19" t="s">
        <v>12</v>
      </c>
    </row>
    <row r="17" spans="3:7" ht="24.75" customHeight="1" thickBot="1" x14ac:dyDescent="0.35">
      <c r="C17" s="8"/>
      <c r="D17" s="19" t="s">
        <v>17</v>
      </c>
      <c r="E17" s="12"/>
      <c r="F17" s="10"/>
      <c r="G17" s="19" t="s">
        <v>17</v>
      </c>
    </row>
    <row r="18" spans="3:7" ht="24.75" customHeight="1" thickBot="1" x14ac:dyDescent="0.35">
      <c r="C18" s="8"/>
      <c r="D18" s="19" t="s">
        <v>19</v>
      </c>
      <c r="E18" s="12"/>
      <c r="F18" s="10"/>
      <c r="G18" s="19" t="s">
        <v>19</v>
      </c>
    </row>
    <row r="19" spans="3:7" ht="26.65" customHeight="1" thickBot="1" x14ac:dyDescent="0.3">
      <c r="C19" s="8"/>
      <c r="D19" s="19" t="s">
        <v>16</v>
      </c>
      <c r="E19" s="7"/>
      <c r="G19" s="19" t="s">
        <v>16</v>
      </c>
    </row>
  </sheetData>
  <printOptions horizontalCentered="1"/>
  <pageMargins left="0.5" right="0.5" top="0.5" bottom="0.5" header="0" footer="0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9"/>
    <pageSetUpPr autoPageBreaks="0" fitToPage="1"/>
  </sheetPr>
  <dimension ref="B2:L25"/>
  <sheetViews>
    <sheetView showGridLines="0" topLeftCell="B1" zoomScaleNormal="100" workbookViewId="0">
      <selection activeCell="H17" sqref="H17"/>
    </sheetView>
  </sheetViews>
  <sheetFormatPr baseColWidth="10" defaultColWidth="6.5703125" defaultRowHeight="18.75" customHeight="1" x14ac:dyDescent="0.25"/>
  <cols>
    <col min="1" max="1" width="2.42578125" customWidth="1"/>
    <col min="2" max="2" width="48.5703125" style="1" customWidth="1"/>
    <col min="3" max="3" width="2.7109375" customWidth="1"/>
    <col min="4" max="4" width="42.140625" customWidth="1"/>
    <col min="5" max="5" width="11.85546875" bestFit="1" customWidth="1"/>
    <col min="6" max="6" width="14.7109375" customWidth="1"/>
    <col min="7" max="7" width="5.5703125" customWidth="1"/>
    <col min="8" max="8" width="2.7109375" customWidth="1"/>
    <col min="9" max="9" width="40.42578125" customWidth="1"/>
    <col min="10" max="10" width="17" customWidth="1"/>
    <col min="11" max="11" width="12.42578125" customWidth="1"/>
    <col min="12" max="12" width="9.85546875" bestFit="1" customWidth="1"/>
  </cols>
  <sheetData>
    <row r="2" spans="2:12" ht="28.5" customHeight="1" thickBot="1" x14ac:dyDescent="0.5">
      <c r="B2" s="26" t="s">
        <v>28</v>
      </c>
      <c r="C2" s="3"/>
      <c r="D2" s="3"/>
      <c r="E2" s="3"/>
      <c r="F2" s="3"/>
      <c r="G2" s="3"/>
      <c r="H2" s="4"/>
      <c r="I2" s="20" t="s">
        <v>4</v>
      </c>
      <c r="J2" s="5"/>
      <c r="K2" t="s">
        <v>1</v>
      </c>
    </row>
    <row r="3" spans="2:12" ht="34.5" customHeight="1" thickTop="1" x14ac:dyDescent="0.25"/>
    <row r="4" spans="2:12" ht="18.75" customHeight="1" x14ac:dyDescent="0.25">
      <c r="C4" s="21" t="s">
        <v>1</v>
      </c>
      <c r="D4" s="21" t="s">
        <v>29</v>
      </c>
      <c r="E4" s="38" t="s">
        <v>14</v>
      </c>
      <c r="F4" s="22"/>
      <c r="H4" s="21" t="s">
        <v>1</v>
      </c>
      <c r="I4" s="21" t="s">
        <v>29</v>
      </c>
      <c r="J4" s="22" t="s">
        <v>15</v>
      </c>
      <c r="K4" s="38" t="s">
        <v>24</v>
      </c>
      <c r="L4" s="38" t="s">
        <v>25</v>
      </c>
    </row>
    <row r="5" spans="2:12" ht="18.75" customHeight="1" x14ac:dyDescent="0.25">
      <c r="C5" s="21"/>
      <c r="D5" s="24" t="s">
        <v>13</v>
      </c>
      <c r="E5" s="62">
        <v>1590</v>
      </c>
      <c r="F5" s="22"/>
      <c r="H5" s="21"/>
      <c r="I5" s="24" t="s">
        <v>13</v>
      </c>
      <c r="J5" s="23">
        <f>VLOOKUP(Bolsausados[[#This Row],[Bolsa I91c]],Cálculos!$D$4:$F$10,2,FALSE)</f>
        <v>6776</v>
      </c>
      <c r="K5" s="40">
        <f>Bolsatope[[#This Row],[Tope]]-Bolsausados[[#This Row],[Usados]]</f>
        <v>-5186</v>
      </c>
      <c r="L5" s="41">
        <f>VLOOKUP(Bolsausados[[#This Row],[Bolsa I91c]],Cálculos!$D$4:$F$10,3,FALSE)</f>
        <v>0</v>
      </c>
    </row>
    <row r="6" spans="2:12" ht="18.75" customHeight="1" x14ac:dyDescent="0.25">
      <c r="C6" s="21"/>
      <c r="D6" s="24" t="s">
        <v>10</v>
      </c>
      <c r="E6" s="62">
        <v>13987</v>
      </c>
      <c r="F6" s="22"/>
      <c r="H6" s="21"/>
      <c r="I6" s="24" t="s">
        <v>10</v>
      </c>
      <c r="J6" s="23">
        <f>VLOOKUP(Bolsausados[[#This Row],[Bolsa I91c]],Cálculos!$D$4:$F$10,2,FALSE)</f>
        <v>75882</v>
      </c>
      <c r="K6" s="40">
        <f>Bolsatope[[#This Row],[Tope]]-Bolsausados[[#This Row],[Usados]]</f>
        <v>-61895</v>
      </c>
      <c r="L6" s="41">
        <f>VLOOKUP(Bolsausados[[#This Row],[Bolsa I91c]],Cálculos!$D$4:$F$10,3,FALSE)</f>
        <v>0</v>
      </c>
    </row>
    <row r="7" spans="2:12" ht="18.75" customHeight="1" x14ac:dyDescent="0.25">
      <c r="C7" s="21"/>
      <c r="D7" s="21" t="s">
        <v>7</v>
      </c>
      <c r="E7" s="62">
        <v>81127</v>
      </c>
      <c r="F7" s="22"/>
      <c r="H7" s="21"/>
      <c r="I7" s="21" t="s">
        <v>7</v>
      </c>
      <c r="J7" s="23">
        <f>VLOOKUP(Bolsausados[[#This Row],[Bolsa I91c]],Cálculos!$D$4:$F$10,2,FALSE)</f>
        <v>426998</v>
      </c>
      <c r="K7" s="40">
        <f>Bolsatope[[#This Row],[Tope]]-Bolsausados[[#This Row],[Usados]]</f>
        <v>-345871</v>
      </c>
      <c r="L7" s="41">
        <f>VLOOKUP(Bolsausados[[#This Row],[Bolsa I91c]],Cálculos!$D$4:$F$10,3,FALSE)</f>
        <v>0</v>
      </c>
    </row>
    <row r="8" spans="2:12" ht="18.75" customHeight="1" x14ac:dyDescent="0.25">
      <c r="C8" s="21"/>
      <c r="D8" s="24" t="s">
        <v>38</v>
      </c>
      <c r="E8" s="62">
        <v>8465</v>
      </c>
      <c r="F8" s="22"/>
      <c r="H8" s="21"/>
      <c r="I8" s="24" t="s">
        <v>38</v>
      </c>
      <c r="J8" s="23">
        <f>VLOOKUP(Bolsausados[[#This Row],[Bolsa I91c]],Cálculos!$D$4:$F$10,2,FALSE)</f>
        <v>39367</v>
      </c>
      <c r="K8" s="40">
        <f>Bolsatope[[#This Row],[Tope]]-Bolsausados[[#This Row],[Usados]]</f>
        <v>-30902</v>
      </c>
      <c r="L8" s="41">
        <f>VLOOKUP(Bolsausados[[#This Row],[Bolsa I91c]],Cálculos!$D$4:$F$10,3,FALSE)</f>
        <v>0</v>
      </c>
    </row>
    <row r="9" spans="2:12" ht="18.75" customHeight="1" x14ac:dyDescent="0.25">
      <c r="C9" s="21"/>
      <c r="D9" s="21" t="s">
        <v>37</v>
      </c>
      <c r="E9" s="62">
        <v>3143</v>
      </c>
      <c r="F9" s="22"/>
      <c r="H9" s="21"/>
      <c r="I9" s="21" t="s">
        <v>37</v>
      </c>
      <c r="J9" s="23">
        <f>VLOOKUP(Bolsausados[[#This Row],[Bolsa I91c]],Cálculos!$D$4:$F$10,2,FALSE)</f>
        <v>11224</v>
      </c>
      <c r="K9" s="40">
        <f>Bolsatope[[#This Row],[Tope]]-Bolsausados[[#This Row],[Usados]]</f>
        <v>-8081</v>
      </c>
      <c r="L9" s="41">
        <f>VLOOKUP(Bolsausados[[#This Row],[Bolsa I91c]],Cálculos!$D$4:$F$10,3,FALSE)</f>
        <v>0</v>
      </c>
    </row>
    <row r="10" spans="2:12" ht="18.75" customHeight="1" x14ac:dyDescent="0.25">
      <c r="C10" s="21"/>
      <c r="D10" s="24" t="s">
        <v>39</v>
      </c>
      <c r="E10" s="62">
        <v>15401</v>
      </c>
      <c r="F10" s="22"/>
      <c r="H10" s="21"/>
      <c r="I10" s="24" t="s">
        <v>39</v>
      </c>
      <c r="J10" s="23">
        <f>VLOOKUP(Bolsausados[[#This Row],[Bolsa I91c]],Cálculos!$D$4:$F$10,2,FALSE)</f>
        <v>72220</v>
      </c>
      <c r="K10" s="40">
        <f>Bolsatope[[#This Row],[Tope]]-Bolsausados[[#This Row],[Usados]]</f>
        <v>-56819</v>
      </c>
      <c r="L10" s="41">
        <f>VLOOKUP(Bolsausados[[#This Row],[Bolsa I91c]],Cálculos!$D$4:$F$10,3,FALSE)</f>
        <v>0</v>
      </c>
    </row>
    <row r="11" spans="2:12" ht="18.75" customHeight="1" x14ac:dyDescent="0.25">
      <c r="C11" s="21"/>
      <c r="D11" s="24" t="s">
        <v>9</v>
      </c>
      <c r="E11" s="62">
        <v>1503</v>
      </c>
      <c r="F11" s="22"/>
      <c r="I11" s="24" t="s">
        <v>9</v>
      </c>
      <c r="J11" s="23">
        <f>VLOOKUP(Bolsausados[[#This Row],[Bolsa I91c]],Cálculos!$D$4:$F$10,2,FALSE)</f>
        <v>8788</v>
      </c>
      <c r="K11" s="40">
        <f>Bolsatope[[#This Row],[Tope]]-Bolsausados[[#This Row],[Usados]]</f>
        <v>-7285</v>
      </c>
      <c r="L11" s="41">
        <f>VLOOKUP(Bolsausados[[#This Row],[Bolsa I91c]],Cálculos!$D$4:$F$10,3,FALSE)</f>
        <v>0</v>
      </c>
    </row>
    <row r="12" spans="2:12" ht="18.75" customHeight="1" thickBot="1" x14ac:dyDescent="0.35">
      <c r="B12" s="57" cm="1">
        <f t="array" ref="B12">TopeI91c</f>
        <v>125216</v>
      </c>
      <c r="C12" s="37"/>
      <c r="D12" s="51" t="s">
        <v>0</v>
      </c>
      <c r="E12" s="54">
        <f>SUBTOTAL(109,Bolsatope[Tope])</f>
        <v>125216</v>
      </c>
      <c r="F12" s="22"/>
      <c r="H12" s="37"/>
      <c r="I12" s="42" t="s">
        <v>0</v>
      </c>
      <c r="J12" s="43">
        <f>SUBTOTAL(109,Bolsausados[Usados])</f>
        <v>641255</v>
      </c>
      <c r="K12" s="44">
        <f>SUBTOTAL(109,Bolsausados[Resto])</f>
        <v>-516039</v>
      </c>
      <c r="L12" s="44">
        <f>SUBTOTAL(109,Bolsausados[Necesidad])</f>
        <v>0</v>
      </c>
    </row>
    <row r="13" spans="2:12" ht="18.75" customHeight="1" thickTop="1" x14ac:dyDescent="0.25">
      <c r="B13" s="57"/>
      <c r="C13" s="27"/>
      <c r="D13" s="24"/>
      <c r="E13" s="28"/>
      <c r="F13" s="22"/>
      <c r="H13" s="27"/>
      <c r="I13" s="27"/>
      <c r="J13" s="28"/>
    </row>
    <row r="14" spans="2:12" ht="18.75" customHeight="1" x14ac:dyDescent="0.25">
      <c r="B14" s="58" t="s">
        <v>2</v>
      </c>
      <c r="C14" s="56"/>
      <c r="D14" s="56"/>
      <c r="E14" s="56"/>
      <c r="F14" s="2"/>
      <c r="H14" s="56"/>
      <c r="I14" s="56"/>
      <c r="J14" s="56"/>
    </row>
    <row r="15" spans="2:12" ht="18.75" customHeight="1" x14ac:dyDescent="0.25">
      <c r="B15" s="58"/>
      <c r="C15" s="45"/>
    </row>
    <row r="16" spans="2:12" ht="18.75" customHeight="1" x14ac:dyDescent="0.25">
      <c r="B16" s="6"/>
      <c r="C16" s="21"/>
      <c r="D16" s="21"/>
      <c r="E16" s="22"/>
      <c r="F16" s="22"/>
      <c r="H16" s="21"/>
      <c r="I16" s="21"/>
      <c r="J16" s="22"/>
    </row>
    <row r="17" spans="2:10" ht="18.75" customHeight="1" x14ac:dyDescent="0.25">
      <c r="B17" s="2"/>
      <c r="C17" s="21"/>
      <c r="D17" s="21"/>
      <c r="E17" s="23"/>
      <c r="F17" s="23"/>
      <c r="H17" s="21"/>
      <c r="I17" s="21"/>
      <c r="J17" s="23"/>
    </row>
    <row r="18" spans="2:10" ht="18.75" customHeight="1" x14ac:dyDescent="0.25">
      <c r="C18" s="21"/>
      <c r="D18" s="21"/>
      <c r="E18" s="23"/>
      <c r="F18" s="23"/>
      <c r="H18" s="21"/>
      <c r="I18" s="21"/>
      <c r="J18" s="23"/>
    </row>
    <row r="19" spans="2:10" ht="18.75" customHeight="1" x14ac:dyDescent="0.25">
      <c r="C19" s="21"/>
      <c r="D19" s="21"/>
      <c r="E19" s="23"/>
      <c r="F19" s="23"/>
      <c r="H19" s="21"/>
      <c r="I19" s="21"/>
      <c r="J19" s="23"/>
    </row>
    <row r="20" spans="2:10" ht="18.75" customHeight="1" x14ac:dyDescent="0.25">
      <c r="C20" s="21"/>
      <c r="D20" s="21"/>
      <c r="E20" s="23"/>
      <c r="F20" s="23"/>
      <c r="H20" s="21"/>
      <c r="I20" s="21"/>
      <c r="J20" s="23"/>
    </row>
    <row r="21" spans="2:10" ht="18.75" customHeight="1" x14ac:dyDescent="0.25">
      <c r="C21" s="21"/>
      <c r="D21" s="21"/>
      <c r="E21" s="23"/>
      <c r="F21" s="23"/>
      <c r="H21" s="21"/>
      <c r="I21" s="21"/>
      <c r="J21" s="23"/>
    </row>
    <row r="22" spans="2:10" ht="18.75" customHeight="1" x14ac:dyDescent="0.25">
      <c r="C22" s="21"/>
      <c r="D22" s="21"/>
      <c r="E22" s="23"/>
      <c r="F22" s="23"/>
      <c r="H22" s="21"/>
      <c r="I22" s="21"/>
      <c r="J22" s="23"/>
    </row>
    <row r="23" spans="2:10" ht="18.75" customHeight="1" x14ac:dyDescent="0.25">
      <c r="C23" s="32"/>
      <c r="D23" s="30"/>
      <c r="E23" s="31"/>
      <c r="F23" s="31"/>
      <c r="H23" s="32"/>
      <c r="I23" s="30"/>
      <c r="J23" s="31"/>
    </row>
    <row r="24" spans="2:10" ht="18.75" customHeight="1" x14ac:dyDescent="0.25">
      <c r="C24" s="24"/>
      <c r="D24" s="24"/>
      <c r="E24" s="25"/>
      <c r="F24" s="25"/>
      <c r="H24" s="24"/>
      <c r="I24" s="24"/>
      <c r="J24" s="25"/>
    </row>
    <row r="25" spans="2:10" ht="18.75" customHeight="1" x14ac:dyDescent="0.25">
      <c r="C25" s="56"/>
      <c r="D25" s="56"/>
      <c r="E25" s="56"/>
      <c r="F25" s="2"/>
      <c r="H25" s="56"/>
      <c r="I25" s="56"/>
      <c r="J25" s="56"/>
    </row>
  </sheetData>
  <mergeCells count="6">
    <mergeCell ref="H25:J25"/>
    <mergeCell ref="B12:B13"/>
    <mergeCell ref="B14:B15"/>
    <mergeCell ref="C14:E14"/>
    <mergeCell ref="H14:J14"/>
    <mergeCell ref="C25:E25"/>
  </mergeCells>
  <printOptions horizontalCentered="1"/>
  <pageMargins left="0.7" right="0.7" top="0.75" bottom="0.75" header="0.3" footer="0.3"/>
  <pageSetup fitToHeight="0" orientation="landscape" r:id="rId1"/>
  <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6"/>
    <pageSetUpPr autoPageBreaks="0" fitToPage="1"/>
  </sheetPr>
  <dimension ref="B2:J15"/>
  <sheetViews>
    <sheetView showGridLines="0" topLeftCell="B1" zoomScaleNormal="100" workbookViewId="0">
      <selection activeCell="E18" sqref="E18"/>
    </sheetView>
  </sheetViews>
  <sheetFormatPr baseColWidth="10" defaultColWidth="6.5703125" defaultRowHeight="18.75" customHeight="1" x14ac:dyDescent="0.25"/>
  <cols>
    <col min="1" max="1" width="2.42578125" customWidth="1"/>
    <col min="2" max="2" width="48.5703125" customWidth="1"/>
    <col min="3" max="3" width="2.7109375" customWidth="1"/>
    <col min="4" max="4" width="43.42578125" customWidth="1"/>
    <col min="5" max="5" width="19.42578125" customWidth="1"/>
    <col min="6" max="6" width="5.5703125" customWidth="1"/>
    <col min="7" max="7" width="2.7109375" customWidth="1"/>
    <col min="8" max="8" width="38.42578125" bestFit="1" customWidth="1"/>
    <col min="9" max="9" width="17.140625" customWidth="1"/>
    <col min="10" max="10" width="12" customWidth="1"/>
    <col min="17" max="17" width="21.7109375" customWidth="1"/>
  </cols>
  <sheetData>
    <row r="2" spans="2:10" ht="28.5" customHeight="1" thickBot="1" x14ac:dyDescent="0.5">
      <c r="B2" s="26" t="s">
        <v>27</v>
      </c>
      <c r="C2" s="3"/>
      <c r="D2" s="3"/>
      <c r="E2" s="5"/>
      <c r="F2" s="3"/>
      <c r="G2" s="16"/>
      <c r="H2" s="20" t="s">
        <v>4</v>
      </c>
      <c r="I2" s="3"/>
      <c r="J2" t="s">
        <v>1</v>
      </c>
    </row>
    <row r="3" spans="2:10" ht="34.5" customHeight="1" thickTop="1" x14ac:dyDescent="0.25">
      <c r="B3" s="1"/>
    </row>
    <row r="4" spans="2:10" ht="18.75" customHeight="1" x14ac:dyDescent="0.25">
      <c r="C4" s="21" t="s">
        <v>1</v>
      </c>
      <c r="D4" s="21" t="s">
        <v>27</v>
      </c>
      <c r="E4" s="22" t="s">
        <v>14</v>
      </c>
      <c r="G4" s="21" t="s">
        <v>1</v>
      </c>
      <c r="H4" s="48" t="s">
        <v>27</v>
      </c>
      <c r="I4" s="38" t="s">
        <v>15</v>
      </c>
      <c r="J4" s="38" t="s">
        <v>24</v>
      </c>
    </row>
    <row r="5" spans="2:10" ht="18.75" customHeight="1" x14ac:dyDescent="0.25">
      <c r="C5" s="21"/>
      <c r="D5" s="24" t="s">
        <v>13</v>
      </c>
      <c r="E5" s="62">
        <v>5909</v>
      </c>
      <c r="G5" s="21"/>
      <c r="H5" s="24" t="s">
        <v>13</v>
      </c>
      <c r="I5" s="23">
        <f>VLOOKUP(tblAsegurado[[#This Row],[BOLSA I9B1a]],Cálculos!$H$4:$I$10,2,FALSE)</f>
        <v>6776</v>
      </c>
      <c r="J5" s="41">
        <f>tblNoAsegurado[[#This Row],[Tope]]-tblAsegurado[[#This Row],[Usados]]</f>
        <v>-867</v>
      </c>
    </row>
    <row r="6" spans="2:10" ht="18.75" customHeight="1" x14ac:dyDescent="0.25">
      <c r="C6" s="21"/>
      <c r="D6" s="24" t="s">
        <v>10</v>
      </c>
      <c r="E6" s="62">
        <v>51971</v>
      </c>
      <c r="G6" s="21"/>
      <c r="H6" s="24" t="s">
        <v>10</v>
      </c>
      <c r="I6" s="23">
        <f>VLOOKUP(tblAsegurado[[#This Row],[BOLSA I9B1a]],Cálculos!$H$4:$I$10,2,FALSE)</f>
        <v>75882</v>
      </c>
      <c r="J6" s="41">
        <f>tblNoAsegurado[[#This Row],[Tope]]-tblAsegurado[[#This Row],[Usados]]</f>
        <v>-23911</v>
      </c>
    </row>
    <row r="7" spans="2:10" ht="18.75" customHeight="1" x14ac:dyDescent="0.25">
      <c r="C7" s="21"/>
      <c r="D7" s="21" t="s">
        <v>7</v>
      </c>
      <c r="E7" s="62">
        <v>301449</v>
      </c>
      <c r="G7" s="21"/>
      <c r="H7" s="21" t="s">
        <v>7</v>
      </c>
      <c r="I7" s="23">
        <f>VLOOKUP(tblAsegurado[[#This Row],[BOLSA I9B1a]],Cálculos!$H$4:$I$10,2,FALSE)</f>
        <v>426998</v>
      </c>
      <c r="J7" s="41">
        <f>tblNoAsegurado[[#This Row],[Tope]]-tblAsegurado[[#This Row],[Usados]]</f>
        <v>-125549</v>
      </c>
    </row>
    <row r="8" spans="2:10" ht="18.75" customHeight="1" x14ac:dyDescent="0.25">
      <c r="C8" s="21"/>
      <c r="D8" s="24" t="s">
        <v>38</v>
      </c>
      <c r="E8" s="62">
        <v>31452</v>
      </c>
      <c r="G8" s="21"/>
      <c r="H8" s="24" t="s">
        <v>38</v>
      </c>
      <c r="I8" s="23">
        <f>VLOOKUP(tblAsegurado[[#This Row],[BOLSA I9B1a]],Cálculos!$H$4:$I$10,2,FALSE)</f>
        <v>39367</v>
      </c>
      <c r="J8" s="41">
        <f>tblNoAsegurado[[#This Row],[Tope]]-tblAsegurado[[#This Row],[Usados]]</f>
        <v>-7915</v>
      </c>
    </row>
    <row r="9" spans="2:10" ht="18.75" customHeight="1" x14ac:dyDescent="0.25">
      <c r="C9" s="21"/>
      <c r="D9" s="21" t="s">
        <v>37</v>
      </c>
      <c r="E9" s="62">
        <v>11678</v>
      </c>
      <c r="G9" s="21"/>
      <c r="H9" s="21" t="s">
        <v>37</v>
      </c>
      <c r="I9" s="23">
        <f>VLOOKUP(tblAsegurado[[#This Row],[BOLSA I9B1a]],Cálculos!$H$4:$I$10,2,FALSE)</f>
        <v>11224</v>
      </c>
      <c r="J9" s="41">
        <f>tblNoAsegurado[[#This Row],[Tope]]-tblAsegurado[[#This Row],[Usados]]</f>
        <v>454</v>
      </c>
    </row>
    <row r="10" spans="2:10" ht="18.75" customHeight="1" x14ac:dyDescent="0.25">
      <c r="C10" s="21"/>
      <c r="D10" s="24" t="s">
        <v>39</v>
      </c>
      <c r="E10" s="62">
        <v>57228</v>
      </c>
      <c r="G10" s="21"/>
      <c r="H10" s="24" t="s">
        <v>39</v>
      </c>
      <c r="I10" s="23">
        <f>VLOOKUP(tblAsegurado[[#This Row],[BOLSA I9B1a]],Cálculos!$H$4:$I$10,2,FALSE)</f>
        <v>72220</v>
      </c>
      <c r="J10" s="41">
        <f>tblNoAsegurado[[#This Row],[Tope]]-tblAsegurado[[#This Row],[Usados]]</f>
        <v>-14992</v>
      </c>
    </row>
    <row r="11" spans="2:10" ht="18.75" customHeight="1" x14ac:dyDescent="0.25">
      <c r="C11" s="21"/>
      <c r="D11" s="24" t="s">
        <v>9</v>
      </c>
      <c r="E11" s="62">
        <v>5583</v>
      </c>
      <c r="G11" s="21"/>
      <c r="H11" s="24" t="s">
        <v>9</v>
      </c>
      <c r="I11" s="23">
        <f>VLOOKUP(tblAsegurado[[#This Row],[BOLSA I9B1a]],Cálculos!$H$4:$I$10,2,FALSE)</f>
        <v>8788</v>
      </c>
      <c r="J11" s="41">
        <f>tblNoAsegurado[[#This Row],[Tope]]-tblAsegurado[[#This Row],[Usados]]</f>
        <v>-3205</v>
      </c>
    </row>
    <row r="12" spans="2:10" ht="18.75" customHeight="1" thickBot="1" x14ac:dyDescent="0.3">
      <c r="B12" s="57" cm="1">
        <f t="array" ref="B12">TopeI9B1a</f>
        <v>465270</v>
      </c>
      <c r="C12" s="29"/>
      <c r="D12" s="42" t="s">
        <v>0</v>
      </c>
      <c r="E12" s="53">
        <f>SUBTOTAL(109,tblNoAsegurado[Tope])</f>
        <v>465270</v>
      </c>
      <c r="G12" s="29"/>
      <c r="H12" s="42" t="s">
        <v>0</v>
      </c>
      <c r="I12" s="47">
        <f>SUBTOTAL(109,tblAsegurado[Usados])</f>
        <v>641255</v>
      </c>
      <c r="J12" s="46">
        <f>SUBTOTAL(109,tblAsegurado[Resto])</f>
        <v>-175985</v>
      </c>
    </row>
    <row r="13" spans="2:10" ht="18.75" customHeight="1" thickTop="1" x14ac:dyDescent="0.25">
      <c r="B13" s="57"/>
      <c r="G13" s="21"/>
      <c r="H13" s="24"/>
      <c r="I13" s="25"/>
    </row>
    <row r="14" spans="2:10" ht="18.75" customHeight="1" x14ac:dyDescent="0.25">
      <c r="B14" s="58" t="s">
        <v>2</v>
      </c>
    </row>
    <row r="15" spans="2:10" ht="18.75" customHeight="1" x14ac:dyDescent="0.25">
      <c r="B15" s="58"/>
    </row>
  </sheetData>
  <mergeCells count="2">
    <mergeCell ref="B12:B13"/>
    <mergeCell ref="B14:B15"/>
  </mergeCells>
  <printOptions horizontalCentered="1"/>
  <pageMargins left="0.7" right="0.7" top="0.75" bottom="0.75" header="0.3" footer="0.3"/>
  <pageSetup fitToHeight="0" orientation="landscape" r:id="rId1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D9FAD-C97E-437A-8B21-8D376E6AC254}">
  <sheetPr>
    <pageSetUpPr fitToPage="1"/>
  </sheetPr>
  <dimension ref="A1:I20"/>
  <sheetViews>
    <sheetView tabSelected="1" workbookViewId="0">
      <selection activeCell="E13" sqref="E13"/>
    </sheetView>
  </sheetViews>
  <sheetFormatPr baseColWidth="10" defaultRowHeight="12.75" x14ac:dyDescent="0.25"/>
  <cols>
    <col min="1" max="1" width="46.28515625" customWidth="1"/>
    <col min="4" max="4" width="42.42578125" bestFit="1" customWidth="1"/>
    <col min="5" max="5" width="12.42578125" bestFit="1" customWidth="1"/>
    <col min="6" max="6" width="17.5703125" bestFit="1" customWidth="1"/>
    <col min="8" max="8" width="42.42578125" bestFit="1" customWidth="1"/>
    <col min="9" max="9" width="12.42578125" bestFit="1" customWidth="1"/>
  </cols>
  <sheetData>
    <row r="1" spans="1:9" x14ac:dyDescent="0.25">
      <c r="A1" t="s">
        <v>20</v>
      </c>
      <c r="B1" t="s">
        <v>14</v>
      </c>
      <c r="D1" s="39" t="s">
        <v>6</v>
      </c>
      <c r="E1" t="s" vm="1">
        <v>8</v>
      </c>
      <c r="H1" s="39" t="s">
        <v>6</v>
      </c>
      <c r="I1" t="s" vm="1">
        <v>8</v>
      </c>
    </row>
    <row r="2" spans="1:9" x14ac:dyDescent="0.25">
      <c r="A2" s="24" t="s">
        <v>13</v>
      </c>
      <c r="B2" s="60">
        <v>0</v>
      </c>
    </row>
    <row r="3" spans="1:9" x14ac:dyDescent="0.25">
      <c r="A3" s="24" t="s">
        <v>10</v>
      </c>
      <c r="B3" s="60">
        <v>0</v>
      </c>
      <c r="D3" s="39" t="s">
        <v>21</v>
      </c>
      <c r="E3" t="s">
        <v>23</v>
      </c>
      <c r="F3" t="s">
        <v>26</v>
      </c>
      <c r="H3" s="39" t="s">
        <v>21</v>
      </c>
      <c r="I3" t="s">
        <v>23</v>
      </c>
    </row>
    <row r="4" spans="1:9" x14ac:dyDescent="0.25">
      <c r="A4" s="24" t="s">
        <v>7</v>
      </c>
      <c r="B4" s="60">
        <v>0</v>
      </c>
      <c r="D4" s="24" t="s">
        <v>7</v>
      </c>
      <c r="E4" s="55">
        <v>426998</v>
      </c>
      <c r="F4" s="59">
        <v>0</v>
      </c>
      <c r="H4" s="24" t="s">
        <v>7</v>
      </c>
      <c r="I4" s="55">
        <v>426998</v>
      </c>
    </row>
    <row r="5" spans="1:9" x14ac:dyDescent="0.25">
      <c r="A5" s="24" t="s">
        <v>38</v>
      </c>
      <c r="B5" s="60">
        <v>0</v>
      </c>
      <c r="D5" s="24" t="s">
        <v>37</v>
      </c>
      <c r="E5" s="55">
        <v>11224</v>
      </c>
      <c r="F5" s="59">
        <v>0</v>
      </c>
      <c r="H5" s="24" t="s">
        <v>37</v>
      </c>
      <c r="I5" s="55">
        <v>11224</v>
      </c>
    </row>
    <row r="6" spans="1:9" x14ac:dyDescent="0.25">
      <c r="A6" t="s">
        <v>37</v>
      </c>
      <c r="B6" s="60">
        <v>0</v>
      </c>
      <c r="D6" s="24" t="s">
        <v>38</v>
      </c>
      <c r="E6" s="55">
        <v>39367</v>
      </c>
      <c r="F6" s="59">
        <v>0</v>
      </c>
      <c r="H6" s="24" t="s">
        <v>38</v>
      </c>
      <c r="I6" s="55">
        <v>39367</v>
      </c>
    </row>
    <row r="7" spans="1:9" x14ac:dyDescent="0.25">
      <c r="A7" s="24" t="s">
        <v>39</v>
      </c>
      <c r="B7" s="60">
        <v>0</v>
      </c>
      <c r="D7" s="24" t="s">
        <v>9</v>
      </c>
      <c r="E7" s="55">
        <v>8788</v>
      </c>
      <c r="F7" s="59">
        <v>0</v>
      </c>
      <c r="H7" s="24" t="s">
        <v>9</v>
      </c>
      <c r="I7" s="55">
        <v>8788</v>
      </c>
    </row>
    <row r="8" spans="1:9" x14ac:dyDescent="0.25">
      <c r="A8" s="24" t="s">
        <v>9</v>
      </c>
      <c r="B8" s="60">
        <v>0</v>
      </c>
      <c r="D8" s="24" t="s">
        <v>39</v>
      </c>
      <c r="E8" s="55">
        <v>72220</v>
      </c>
      <c r="F8" s="59">
        <v>0</v>
      </c>
      <c r="H8" s="24" t="s">
        <v>39</v>
      </c>
      <c r="I8" s="55">
        <v>72220</v>
      </c>
    </row>
    <row r="9" spans="1:9" x14ac:dyDescent="0.25">
      <c r="A9" t="s">
        <v>0</v>
      </c>
      <c r="B9" s="52">
        <v>0</v>
      </c>
      <c r="D9" s="24" t="s">
        <v>10</v>
      </c>
      <c r="E9" s="55">
        <v>75882</v>
      </c>
      <c r="F9" s="59">
        <v>0</v>
      </c>
      <c r="H9" s="24" t="s">
        <v>10</v>
      </c>
      <c r="I9" s="55">
        <v>75882</v>
      </c>
    </row>
    <row r="10" spans="1:9" x14ac:dyDescent="0.25">
      <c r="D10" s="24" t="s">
        <v>13</v>
      </c>
      <c r="E10" s="55">
        <v>6776</v>
      </c>
      <c r="F10" s="59">
        <v>0</v>
      </c>
      <c r="H10" s="24" t="s">
        <v>13</v>
      </c>
      <c r="I10" s="55">
        <v>6776</v>
      </c>
    </row>
    <row r="11" spans="1:9" x14ac:dyDescent="0.25">
      <c r="D11" s="24" t="s">
        <v>22</v>
      </c>
      <c r="E11" s="55">
        <v>641255</v>
      </c>
      <c r="F11" s="59">
        <v>0</v>
      </c>
      <c r="H11" s="24" t="s">
        <v>22</v>
      </c>
      <c r="I11" s="55">
        <v>641255</v>
      </c>
    </row>
    <row r="14" spans="1:9" x14ac:dyDescent="0.25">
      <c r="A14" t="s">
        <v>20</v>
      </c>
      <c r="B14" t="s">
        <v>14</v>
      </c>
    </row>
    <row r="15" spans="1:9" x14ac:dyDescent="0.25">
      <c r="A15" t="s">
        <v>31</v>
      </c>
      <c r="B15" s="61">
        <v>0</v>
      </c>
    </row>
    <row r="16" spans="1:9" x14ac:dyDescent="0.25">
      <c r="A16" t="s">
        <v>32</v>
      </c>
      <c r="B16" s="61">
        <v>125215</v>
      </c>
    </row>
    <row r="17" spans="1:2" x14ac:dyDescent="0.25">
      <c r="A17" t="s">
        <v>33</v>
      </c>
      <c r="B17" s="61">
        <v>465271</v>
      </c>
    </row>
    <row r="18" spans="1:2" x14ac:dyDescent="0.25">
      <c r="A18" t="s">
        <v>34</v>
      </c>
      <c r="B18" s="61">
        <v>64</v>
      </c>
    </row>
    <row r="19" spans="1:2" x14ac:dyDescent="0.25">
      <c r="A19" t="s">
        <v>35</v>
      </c>
      <c r="B19" s="61">
        <v>0</v>
      </c>
    </row>
    <row r="20" spans="1:2" x14ac:dyDescent="0.25">
      <c r="A20" t="s">
        <v>0</v>
      </c>
      <c r="B20" s="52">
        <f>SUBTOTAL(109,B15:B19)</f>
        <v>590550</v>
      </c>
    </row>
  </sheetData>
  <pageMargins left="0.70866141732283472" right="0.70866141732283472" top="0.74803149606299213" bottom="0.74803149606299213" header="0.31496062992125984" footer="0.31496062992125984"/>
  <pageSetup paperSize="9" scale="73" orientation="landscape" horizontalDpi="0" verticalDpi="0" r:id="rId3"/>
  <tableParts count="2"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irectSourceMarket xmlns="2958f784-0ef9-4616-b22d-512a8cad1f0d">english</DirectSourceMarket>
    <MarketSpecific xmlns="2958f784-0ef9-4616-b22d-512a8cad1f0d">false</MarketSpecific>
    <LocComments xmlns="2958f784-0ef9-4616-b22d-512a8cad1f0d" xsi:nil="true"/>
    <ApprovalStatus xmlns="2958f784-0ef9-4616-b22d-512a8cad1f0d">InProgress</ApprovalStatus>
    <ThumbnailAssetId xmlns="2958f784-0ef9-4616-b22d-512a8cad1f0d" xsi:nil="true"/>
    <PrimaryImageGen xmlns="2958f784-0ef9-4616-b22d-512a8cad1f0d">false</PrimaryImageGen>
    <LegacyData xmlns="2958f784-0ef9-4616-b22d-512a8cad1f0d" xsi:nil="true"/>
    <TPFriendlyName xmlns="2958f784-0ef9-4616-b22d-512a8cad1f0d" xsi:nil="true"/>
    <BlockPublish xmlns="2958f784-0ef9-4616-b22d-512a8cad1f0d">false</BlockPublish>
    <BusinessGroup xmlns="2958f784-0ef9-4616-b22d-512a8cad1f0d" xsi:nil="true"/>
    <NumericId xmlns="2958f784-0ef9-4616-b22d-512a8cad1f0d" xsi:nil="true"/>
    <LocRecommendedHandoff xmlns="2958f784-0ef9-4616-b22d-512a8cad1f0d" xsi:nil="true"/>
    <SourceTitle xmlns="2958f784-0ef9-4616-b22d-512a8cad1f0d" xsi:nil="true"/>
    <OpenTemplate xmlns="2958f784-0ef9-4616-b22d-512a8cad1f0d">true</OpenTemplate>
    <APEditor xmlns="2958f784-0ef9-4616-b22d-512a8cad1f0d">
      <UserInfo>
        <DisplayName/>
        <AccountId xsi:nil="true"/>
        <AccountType/>
      </UserInfo>
    </APEditor>
    <UALocComments xmlns="2958f784-0ef9-4616-b22d-512a8cad1f0d" xsi:nil="true"/>
    <ParentAssetId xmlns="2958f784-0ef9-4616-b22d-512a8cad1f0d" xsi:nil="true"/>
    <PublishStatusLookup xmlns="2958f784-0ef9-4616-b22d-512a8cad1f0d">
      <Value>630877</Value>
    </PublishStatusLookup>
    <IntlLangReviewDate xmlns="2958f784-0ef9-4616-b22d-512a8cad1f0d" xsi:nil="true"/>
    <FeatureTagsTaxHTField0 xmlns="2958f784-0ef9-4616-b22d-512a8cad1f0d">
      <Terms xmlns="http://schemas.microsoft.com/office/infopath/2007/PartnerControls"/>
    </FeatureTagsTaxHTField0>
    <MachineTranslated xmlns="2958f784-0ef9-4616-b22d-512a8cad1f0d">false</MachineTranslated>
    <Providers xmlns="2958f784-0ef9-4616-b22d-512a8cad1f0d" xsi:nil="true"/>
    <OriginalSourceMarket xmlns="2958f784-0ef9-4616-b22d-512a8cad1f0d">english</OriginalSourceMarket>
    <APDescription xmlns="2958f784-0ef9-4616-b22d-512a8cad1f0d">Ever wanted to know how much you're worth? This easy to use template will calculate that for you. Simply input your assets and liabilities and visually see the results.
</APDescription>
    <TPInstallLocation xmlns="2958f784-0ef9-4616-b22d-512a8cad1f0d" xsi:nil="true"/>
    <ClipArtFilename xmlns="2958f784-0ef9-4616-b22d-512a8cad1f0d" xsi:nil="true"/>
    <ContentItem xmlns="2958f784-0ef9-4616-b22d-512a8cad1f0d" xsi:nil="true"/>
    <PublishTargets xmlns="2958f784-0ef9-4616-b22d-512a8cad1f0d">OfficeOnlineVNext</PublishTargets>
    <TimesCloned xmlns="2958f784-0ef9-4616-b22d-512a8cad1f0d" xsi:nil="true"/>
    <AssetStart xmlns="2958f784-0ef9-4616-b22d-512a8cad1f0d">2011-12-15T07:39:00+00:00</AssetStart>
    <FriendlyTitle xmlns="2958f784-0ef9-4616-b22d-512a8cad1f0d" xsi:nil="true"/>
    <LastHandOff xmlns="2958f784-0ef9-4616-b22d-512a8cad1f0d" xsi:nil="true"/>
    <Provider xmlns="2958f784-0ef9-4616-b22d-512a8cad1f0d" xsi:nil="true"/>
    <AcquiredFrom xmlns="2958f784-0ef9-4616-b22d-512a8cad1f0d">Internal MS</AcquiredFrom>
    <TPClientViewer xmlns="2958f784-0ef9-4616-b22d-512a8cad1f0d" xsi:nil="true"/>
    <CSXHash xmlns="2958f784-0ef9-4616-b22d-512a8cad1f0d" xsi:nil="true"/>
    <IsDeleted xmlns="2958f784-0ef9-4616-b22d-512a8cad1f0d">false</IsDeleted>
    <ShowIn xmlns="2958f784-0ef9-4616-b22d-512a8cad1f0d">Show everywhere</ShowIn>
    <UANotes xmlns="2958f784-0ef9-4616-b22d-512a8cad1f0d" xsi:nil="true"/>
    <TemplateStatus xmlns="2958f784-0ef9-4616-b22d-512a8cad1f0d">Complete</TemplateStatus>
    <Downloads xmlns="2958f784-0ef9-4616-b22d-512a8cad1f0d">0</Downloads>
    <InternalTagsTaxHTField0 xmlns="2958f784-0ef9-4616-b22d-512a8cad1f0d">
      <Terms xmlns="http://schemas.microsoft.com/office/infopath/2007/PartnerControls"/>
    </InternalTagsTaxHTField0>
    <OOCacheId xmlns="2958f784-0ef9-4616-b22d-512a8cad1f0d" xsi:nil="true"/>
    <VoteCount xmlns="2958f784-0ef9-4616-b22d-512a8cad1f0d" xsi:nil="true"/>
    <CSXSubmissionMarket xmlns="2958f784-0ef9-4616-b22d-512a8cad1f0d" xsi:nil="true"/>
    <AssetExpire xmlns="2958f784-0ef9-4616-b22d-512a8cad1f0d">2029-01-01T00:00:00+00:00</AssetExpire>
    <DSATActionTaken xmlns="2958f784-0ef9-4616-b22d-512a8cad1f0d" xsi:nil="true"/>
    <TPExecutable xmlns="2958f784-0ef9-4616-b22d-512a8cad1f0d" xsi:nil="true"/>
    <SubmitterId xmlns="2958f784-0ef9-4616-b22d-512a8cad1f0d" xsi:nil="true"/>
    <EditorialTags xmlns="2958f784-0ef9-4616-b22d-512a8cad1f0d" xsi:nil="true"/>
    <AssetType xmlns="2958f784-0ef9-4616-b22d-512a8cad1f0d">TP</AssetType>
    <CSXUpdate xmlns="2958f784-0ef9-4616-b22d-512a8cad1f0d">false</CSXUpdate>
    <CSXSubmissionDate xmlns="2958f784-0ef9-4616-b22d-512a8cad1f0d" xsi:nil="true"/>
    <ApprovalLog xmlns="2958f784-0ef9-4616-b22d-512a8cad1f0d" xsi:nil="true"/>
    <BugNumber xmlns="2958f784-0ef9-4616-b22d-512a8cad1f0d" xsi:nil="true"/>
    <Milestone xmlns="2958f784-0ef9-4616-b22d-512a8cad1f0d" xsi:nil="true"/>
    <OriginAsset xmlns="2958f784-0ef9-4616-b22d-512a8cad1f0d" xsi:nil="true"/>
    <TPComponent xmlns="2958f784-0ef9-4616-b22d-512a8cad1f0d" xsi:nil="true"/>
    <Description0 xmlns="fb5acd76-e9f3-4601-9d69-91f53ab96ae6" xsi:nil="true"/>
    <Component xmlns="fb5acd76-e9f3-4601-9d69-91f53ab96ae6" xsi:nil="true"/>
    <RecommendationsModifier xmlns="2958f784-0ef9-4616-b22d-512a8cad1f0d" xsi:nil="true"/>
    <AssetId xmlns="2958f784-0ef9-4616-b22d-512a8cad1f0d">TP102802355</AssetId>
    <TPApplication xmlns="2958f784-0ef9-4616-b22d-512a8cad1f0d" xsi:nil="true"/>
    <TPLaunchHelpLink xmlns="2958f784-0ef9-4616-b22d-512a8cad1f0d" xsi:nil="true"/>
    <IntlLocPriority xmlns="2958f784-0ef9-4616-b22d-512a8cad1f0d" xsi:nil="true"/>
    <PolicheckWords xmlns="2958f784-0ef9-4616-b22d-512a8cad1f0d" xsi:nil="true"/>
    <CrawlForDependencies xmlns="2958f784-0ef9-4616-b22d-512a8cad1f0d">false</CrawlForDependencies>
    <HandoffToMSDN xmlns="2958f784-0ef9-4616-b22d-512a8cad1f0d" xsi:nil="true"/>
    <PlannedPubDate xmlns="2958f784-0ef9-4616-b22d-512a8cad1f0d" xsi:nil="true"/>
    <IntlLangReviewer xmlns="2958f784-0ef9-4616-b22d-512a8cad1f0d" xsi:nil="true"/>
    <TrustLevel xmlns="2958f784-0ef9-4616-b22d-512a8cad1f0d">1 Microsoft Managed Content</TrustLevel>
    <LocLastLocAttemptVersionLookup xmlns="2958f784-0ef9-4616-b22d-512a8cad1f0d">293449</LocLastLocAttemptVersionLookup>
    <TemplateTemplateType xmlns="2958f784-0ef9-4616-b22d-512a8cad1f0d">Excel 2007 Default</TemplateTemplateType>
    <IsSearchable xmlns="2958f784-0ef9-4616-b22d-512a8cad1f0d">true</IsSearchable>
    <TPNamespace xmlns="2958f784-0ef9-4616-b22d-512a8cad1f0d" xsi:nil="true"/>
    <CampaignTagsTaxHTField0 xmlns="2958f784-0ef9-4616-b22d-512a8cad1f0d">
      <Terms xmlns="http://schemas.microsoft.com/office/infopath/2007/PartnerControls"/>
    </CampaignTagsTaxHTField0>
    <TaxCatchAll xmlns="2958f784-0ef9-4616-b22d-512a8cad1f0d"/>
    <Markets xmlns="2958f784-0ef9-4616-b22d-512a8cad1f0d"/>
    <UAProjectedTotalWords xmlns="2958f784-0ef9-4616-b22d-512a8cad1f0d" xsi:nil="true"/>
    <IntlLangReview xmlns="2958f784-0ef9-4616-b22d-512a8cad1f0d">false</IntlLangReview>
    <OutputCachingOn xmlns="2958f784-0ef9-4616-b22d-512a8cad1f0d">false</OutputCachingOn>
    <AverageRating xmlns="2958f784-0ef9-4616-b22d-512a8cad1f0d" xsi:nil="true"/>
    <TPAppVersion xmlns="2958f784-0ef9-4616-b22d-512a8cad1f0d" xsi:nil="true"/>
    <TPCommandLine xmlns="2958f784-0ef9-4616-b22d-512a8cad1f0d" xsi:nil="true"/>
    <APAuthor xmlns="2958f784-0ef9-4616-b22d-512a8cad1f0d">
      <UserInfo>
        <DisplayName>System Account</DisplayName>
        <AccountId>1073741823</AccountId>
        <AccountType/>
      </UserInfo>
    </APAuthor>
    <LocManualTestRequired xmlns="2958f784-0ef9-4616-b22d-512a8cad1f0d">false</LocManualTestRequired>
    <EditorialStatus xmlns="2958f784-0ef9-4616-b22d-512a8cad1f0d">Complete</EditorialStatus>
    <TPLaunchHelpLinkType xmlns="2958f784-0ef9-4616-b22d-512a8cad1f0d">Template</TPLaunchHelpLinkType>
    <OriginalRelease xmlns="2958f784-0ef9-4616-b22d-512a8cad1f0d">14</OriginalRelease>
    <LastModifiedDateTime xmlns="2958f784-0ef9-4616-b22d-512a8cad1f0d" xsi:nil="true"/>
    <ScenarioTagsTaxHTField0 xmlns="2958f784-0ef9-4616-b22d-512a8cad1f0d">
      <Terms xmlns="http://schemas.microsoft.com/office/infopath/2007/PartnerControls"/>
    </ScenarioTagsTaxHTField0>
    <LocalizationTagsTaxHTField0 xmlns="2958f784-0ef9-4616-b22d-512a8cad1f0d">
      <Terms xmlns="http://schemas.microsoft.com/office/infopath/2007/PartnerControls"/>
    </LocalizationTagsTaxHTField0>
    <Manager xmlns="2958f784-0ef9-4616-b22d-512a8cad1f0d" xsi:nil="true"/>
    <UACurrentWords xmlns="2958f784-0ef9-4616-b22d-512a8cad1f0d" xsi:nil="true"/>
    <UALocRecommendation xmlns="2958f784-0ef9-4616-b22d-512a8cad1f0d">Localize</UALocRecommendation>
    <ArtSampleDocs xmlns="2958f784-0ef9-4616-b22d-512a8cad1f0d" xsi:nil="true"/>
    <LocMarketGroupTiers2 xmlns="2958f784-0ef9-4616-b22d-512a8cad1f0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TemplateFile" ma:contentTypeID="0x010100DE95A0C693CEB341887D38A4A2B58B45040072C752107C5A7B47AA91A1EE638E6F1F" ma:contentTypeVersion="55" ma:contentTypeDescription="Create a new document." ma:contentTypeScope="" ma:versionID="3c98c83416931a21d43ed007fda5e4dd">
  <xsd:schema xmlns:xsd="http://www.w3.org/2001/XMLSchema" xmlns:xs="http://www.w3.org/2001/XMLSchema" xmlns:p="http://schemas.microsoft.com/office/2006/metadata/properties" xmlns:ns2="2958f784-0ef9-4616-b22d-512a8cad1f0d" xmlns:ns3="fb5acd76-e9f3-4601-9d69-91f53ab96ae6" targetNamespace="http://schemas.microsoft.com/office/2006/metadata/properties" ma:root="true" ma:fieldsID="938018c4f46d99993d20879d4e9ddff8" ns2:_="" ns3:_="">
    <xsd:import namespace="2958f784-0ef9-4616-b22d-512a8cad1f0d"/>
    <xsd:import namespace="fb5acd76-e9f3-4601-9d69-91f53ab96ae6"/>
    <xsd:element name="properties">
      <xsd:complexType>
        <xsd:sequence>
          <xsd:element name="documentManagement">
            <xsd:complexType>
              <xsd:all>
                <xsd:element ref="ns2:AcquiredFrom" minOccurs="0"/>
                <xsd:element ref="ns2:UACurrentWords" minOccurs="0"/>
                <xsd:element ref="ns2:TPApplication" minOccurs="0"/>
                <xsd:element ref="ns2:ApprovalLog" minOccurs="0"/>
                <xsd:element ref="ns2:ApprovalStatus" minOccurs="0"/>
                <xsd:element ref="ns2:AssetStart" minOccurs="0"/>
                <xsd:element ref="ns2:AssetExpire" minOccurs="0"/>
                <xsd:element ref="ns2:AssetId" minOccurs="0"/>
                <xsd:element ref="ns2:IsSearchable" minOccurs="0"/>
                <xsd:element ref="ns2:AssetType" minOccurs="0"/>
                <xsd:element ref="ns2:APAuthor" minOccurs="0"/>
                <xsd:element ref="ns2:AverageRating" minOccurs="0"/>
                <xsd:element ref="ns2:BlockPublish" minOccurs="0"/>
                <xsd:element ref="ns2:BugNumber" minOccurs="0"/>
                <xsd:element ref="ns2:CampaignTagsTaxHTField0" minOccurs="0"/>
                <xsd:element ref="ns2:TPClientViewer" minOccurs="0"/>
                <xsd:element ref="ns2:ClipArtFilename" minOccurs="0"/>
                <xsd:element ref="ns2:TPCommandLine" minOccurs="0"/>
                <xsd:element ref="ns2:TPComponent" minOccurs="0"/>
                <xsd:element ref="ns2:ContentItem" minOccurs="0"/>
                <xsd:element ref="ns2:CrawlForDependencies" minOccurs="0"/>
                <xsd:element ref="ns2:CSXHash" minOccurs="0"/>
                <xsd:element ref="ns2:CSXSubmissionMarket" minOccurs="0"/>
                <xsd:element ref="ns2:CSXUpdate" minOccurs="0"/>
                <xsd:element ref="ns2:IntlLangReviewDate" minOccurs="0"/>
                <xsd:element ref="ns2:IsDeleted" minOccurs="0"/>
                <xsd:element ref="ns2:APDescription" minOccurs="0"/>
                <xsd:element ref="ns2:DirectSourceMarket" minOccurs="0"/>
                <xsd:element ref="ns2:Downloads" minOccurs="0"/>
                <xsd:element ref="ns2:DSATActionTaken" minOccurs="0"/>
                <xsd:element ref="ns2:APEditor" minOccurs="0"/>
                <xsd:element ref="ns2:EditorialStatus" minOccurs="0"/>
                <xsd:element ref="ns2:EditorialTags" minOccurs="0"/>
                <xsd:element ref="ns2:TPExecutable" minOccurs="0"/>
                <xsd:element ref="ns2:FeatureTagsTaxHTField0" minOccurs="0"/>
                <xsd:element ref="ns2:TPFriendlyName" minOccurs="0"/>
                <xsd:element ref="ns2:FriendlyTitle" minOccurs="0"/>
                <xsd:element ref="ns2:PrimaryImageGen" minOccurs="0"/>
                <xsd:element ref="ns2:HandoffToMSDN" minOccurs="0"/>
                <xsd:element ref="ns2:InProjectListLookup" minOccurs="0"/>
                <xsd:element ref="ns2:TPInstallLocation" minOccurs="0"/>
                <xsd:element ref="ns2:InternalTagsTaxHTField0" minOccurs="0"/>
                <xsd:element ref="ns2:IntlLangReview" minOccurs="0"/>
                <xsd:element ref="ns2:IntlLangReviewer" minOccurs="0"/>
                <xsd:element ref="ns2:MarketSpecific" minOccurs="0"/>
                <xsd:element ref="ns2:LastCompleteVersionLookup" minOccurs="0"/>
                <xsd:element ref="ns2:LastHandOff" minOccurs="0"/>
                <xsd:element ref="ns2:LastModifiedDateTime" minOccurs="0"/>
                <xsd:element ref="ns2:LastPreviewErrorLookup" minOccurs="0"/>
                <xsd:element ref="ns2:LastPreviewResultLookup" minOccurs="0"/>
                <xsd:element ref="ns2:LastPreviewAttemptDateLookup" minOccurs="0"/>
                <xsd:element ref="ns2:LastPreviewedByLookup" minOccurs="0"/>
                <xsd:element ref="ns2:LastPreviewTimeLookup" minOccurs="0"/>
                <xsd:element ref="ns2:LastPreviewVersionLookup" minOccurs="0"/>
                <xsd:element ref="ns2:LastPublishErrorLookup" minOccurs="0"/>
                <xsd:element ref="ns2:LastPublishResultLookup" minOccurs="0"/>
                <xsd:element ref="ns2:LastPublishAttemptDateLookup" minOccurs="0"/>
                <xsd:element ref="ns2:LastPublishedByLookup" minOccurs="0"/>
                <xsd:element ref="ns2:LastPublishTimeLookup" minOccurs="0"/>
                <xsd:element ref="ns2:LastPublishVersionLookup" minOccurs="0"/>
                <xsd:element ref="ns2:TPLaunchHelpLinkType" minOccurs="0"/>
                <xsd:element ref="ns2:LegacyData" minOccurs="0"/>
                <xsd:element ref="ns2:TPLaunchHelpLink" minOccurs="0"/>
                <xsd:element ref="ns2:LocComments" minOccurs="0"/>
                <xsd:element ref="ns2:LocLastLocAttemptVersionLookup" minOccurs="0"/>
                <xsd:element ref="ns2:LocLastLocAttemptVersionTypeLookup" minOccurs="0"/>
                <xsd:element ref="ns2:LocManualTestRequired" minOccurs="0"/>
                <xsd:element ref="ns2:LocMarketGroupTiers2" minOccurs="0"/>
                <xsd:element ref="ns2:LocNewPublishedVersionLookup" minOccurs="0"/>
                <xsd:element ref="ns2:LocOverallHandbackStatusLookup" minOccurs="0"/>
                <xsd:element ref="ns2:LocOverallLocStatusLookup" minOccurs="0"/>
                <xsd:element ref="ns2:LocOverallPreviewStatusLookup" minOccurs="0"/>
                <xsd:element ref="ns2:LocOverallPublishStatusLookup" minOccurs="0"/>
                <xsd:element ref="ns2:IntlLocPriority" minOccurs="0"/>
                <xsd:element ref="ns2:LocProcessedForHandoffsLookup" minOccurs="0"/>
                <xsd:element ref="ns2:LocProcessedForMarketsLookup" minOccurs="0"/>
                <xsd:element ref="ns2:LocPublishedDependentAssetsLookup" minOccurs="0"/>
                <xsd:element ref="ns2:LocPublishedLinkedAssetsLookup" minOccurs="0"/>
                <xsd:element ref="ns2:LocRecommendedHandoff" minOccurs="0"/>
                <xsd:element ref="ns2:LocalizationTagsTaxHTField0" minOccurs="0"/>
                <xsd:element ref="ns2:MachineTranslated" minOccurs="0"/>
                <xsd:element ref="ns2:Manager" minOccurs="0"/>
                <xsd:element ref="ns2:Markets" minOccurs="0"/>
                <xsd:element ref="ns2:Milestone" minOccurs="0"/>
                <xsd:element ref="ns2:TPNamespace" minOccurs="0"/>
                <xsd:element ref="ns2:NumericId" minOccurs="0"/>
                <xsd:element ref="ns2:NumOfRatingsLookup" minOccurs="0"/>
                <xsd:element ref="ns2:OOCacheId" minOccurs="0"/>
                <xsd:element ref="ns2:OpenTemplate" minOccurs="0"/>
                <xsd:element ref="ns2:OriginAsset" minOccurs="0"/>
                <xsd:element ref="ns2:OriginalRelease" minOccurs="0"/>
                <xsd:element ref="ns2:OriginalSourceMarket" minOccurs="0"/>
                <xsd:element ref="ns2:OutputCachingOn" minOccurs="0"/>
                <xsd:element ref="ns2:ParentAssetId" minOccurs="0"/>
                <xsd:element ref="ns2:PlannedPubDate" minOccurs="0"/>
                <xsd:element ref="ns2:PolicheckWords" minOccurs="0"/>
                <xsd:element ref="ns2:BusinessGroup" minOccurs="0"/>
                <xsd:element ref="ns2:UAProjectedTotalWords" minOccurs="0"/>
                <xsd:element ref="ns2:Provider" minOccurs="0"/>
                <xsd:element ref="ns2:Providers" minOccurs="0"/>
                <xsd:element ref="ns2:PublishStatusLookup" minOccurs="0"/>
                <xsd:element ref="ns2:PublishTargets" minOccurs="0"/>
                <xsd:element ref="ns2:RecommendationsModifier" minOccurs="0"/>
                <xsd:element ref="ns2:ArtSampleDocs" minOccurs="0"/>
                <xsd:element ref="ns2:ScenarioTagsTaxHTField0" minOccurs="0"/>
                <xsd:element ref="ns2:ShowIn" minOccurs="0"/>
                <xsd:element ref="ns2:SourceTitle" minOccurs="0"/>
                <xsd:element ref="ns2:CSXSubmissionDate" minOccurs="0"/>
                <xsd:element ref="ns2:SubmitterId" minOccurs="0"/>
                <xsd:element ref="ns2:TaxCatchAll" minOccurs="0"/>
                <xsd:element ref="ns2:TaxCatchAllLabel" minOccurs="0"/>
                <xsd:element ref="ns2:TemplateStatus" minOccurs="0"/>
                <xsd:element ref="ns2:TemplateTemplateType" minOccurs="0"/>
                <xsd:element ref="ns2:ThumbnailAssetId" minOccurs="0"/>
                <xsd:element ref="ns2:TimesCloned" minOccurs="0"/>
                <xsd:element ref="ns2:TrustLevel" minOccurs="0"/>
                <xsd:element ref="ns2:UALocComments" minOccurs="0"/>
                <xsd:element ref="ns2:UALocRecommendation" minOccurs="0"/>
                <xsd:element ref="ns2:UANotes" minOccurs="0"/>
                <xsd:element ref="ns2:TPAppVersion" minOccurs="0"/>
                <xsd:element ref="ns2:VoteCount" minOccurs="0"/>
                <xsd:element ref="ns3:Description0" minOccurs="0"/>
                <xsd:element ref="ns3:Compon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8f784-0ef9-4616-b22d-512a8cad1f0d" elementFormDefault="qualified">
    <xsd:import namespace="http://schemas.microsoft.com/office/2006/documentManagement/types"/>
    <xsd:import namespace="http://schemas.microsoft.com/office/infopath/2007/PartnerControls"/>
    <xsd:element name="AcquiredFrom" ma:index="1" nillable="true" ma:displayName="Acquired From" ma:default="Internal MS" ma:internalName="AcquiredFrom" ma:readOnly="false">
      <xsd:simpleType>
        <xsd:restriction base="dms:Choice">
          <xsd:enumeration value="Internal MS"/>
          <xsd:enumeration value="Community"/>
          <xsd:enumeration value="MVP"/>
          <xsd:enumeration value="Publisher"/>
          <xsd:enumeration value="Partner"/>
          <xsd:enumeration value="None"/>
        </xsd:restriction>
      </xsd:simpleType>
    </xsd:element>
    <xsd:element name="UACurrentWords" ma:index="2" nillable="true" ma:displayName="Actual Word Count" ma:default="" ma:internalName="UACurrentWords" ma:readOnly="false">
      <xsd:simpleType>
        <xsd:restriction base="dms:Unknown"/>
      </xsd:simpleType>
    </xsd:element>
    <xsd:element name="TPApplication" ma:index="3" nillable="true" ma:displayName="Application to Open Template With" ma:default="" ma:internalName="TPApplication">
      <xsd:simpleType>
        <xsd:restriction base="dms:Text"/>
      </xsd:simpleType>
    </xsd:element>
    <xsd:element name="ApprovalLog" ma:index="4" nillable="true" ma:displayName="Approval Log" ma:default="" ma:hidden="true" ma:internalName="ApprovalLog" ma:readOnly="false">
      <xsd:simpleType>
        <xsd:restriction base="dms:Note"/>
      </xsd:simpleType>
    </xsd:element>
    <xsd:element name="ApprovalStatus" ma:index="5" nillable="true" ma:displayName="Approval Status" ma:default="InProgress" ma:internalName="ApprovalStatus" ma:readOnly="false">
      <xsd:simpleType>
        <xsd:restriction base="dms:Choice">
          <xsd:enumeration value="InProgress"/>
          <xsd:enumeration value="Rejected"/>
          <xsd:enumeration value="Questionable"/>
          <xsd:enumeration value="ApprovedAutomatic"/>
          <xsd:enumeration value="ApprovedManual"/>
          <xsd:enumeration value="On Hold"/>
          <xsd:enumeration value="Needs Review"/>
          <xsd:enumeration value="A Violation"/>
          <xsd:enumeration value="Unpublished Violation"/>
        </xsd:restriction>
      </xsd:simpleType>
    </xsd:element>
    <xsd:element name="AssetStart" ma:index="6" nillable="true" ma:displayName="Asset Begin Date" ma:default="[Today]" ma:internalName="AssetStart" ma:readOnly="false">
      <xsd:simpleType>
        <xsd:restriction base="dms:DateTime"/>
      </xsd:simpleType>
    </xsd:element>
    <xsd:element name="AssetExpire" ma:index="7" nillable="true" ma:displayName="Asset End Date" ma:default="2029-01-01T00:00:00Z" ma:internalName="AssetExpire" ma:readOnly="false">
      <xsd:simpleType>
        <xsd:restriction base="dms:DateTime"/>
      </xsd:simpleType>
    </xsd:element>
    <xsd:element name="AssetId" ma:index="8" nillable="true" ma:displayName="Asset ID" ma:default="" ma:indexed="true" ma:internalName="AssetId" ma:readOnly="false">
      <xsd:simpleType>
        <xsd:restriction base="dms:Text">
          <xsd:maxLength value="255"/>
        </xsd:restriction>
      </xsd:simpleType>
    </xsd:element>
    <xsd:element name="IsSearchable" ma:index="9" nillable="true" ma:displayName="Asset Searchable?" ma:default="true" ma:internalName="IsSearchable" ma:readOnly="false">
      <xsd:simpleType>
        <xsd:restriction base="dms:Boolean"/>
      </xsd:simpleType>
    </xsd:element>
    <xsd:element name="AssetType" ma:index="10" nillable="true" ma:displayName="Asset Type" ma:default="" ma:internalName="AssetType" ma:readOnly="false">
      <xsd:simpleType>
        <xsd:restriction base="dms:Unknown"/>
      </xsd:simpleType>
    </xsd:element>
    <xsd:element name="APAuthor" ma:index="11" nillable="true" ma:displayName="Author" ma:default="" ma:list="UserInfo" ma:internalName="APAuthor" ma:readOnly="fals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AverageRating" ma:index="12" nillable="true" ma:displayName="Average Rating" ma:internalName="AverageRating" ma:readOnly="false">
      <xsd:simpleType>
        <xsd:restriction base="dms:Text"/>
      </xsd:simpleType>
    </xsd:element>
    <xsd:element name="BlockPublish" ma:index="13" nillable="true" ma:displayName="Block from Publishing?" ma:default="" ma:internalName="BlockPublish" ma:readOnly="false">
      <xsd:simpleType>
        <xsd:restriction base="dms:Boolean"/>
      </xsd:simpleType>
    </xsd:element>
    <xsd:element name="BugNumber" ma:index="14" nillable="true" ma:displayName="Bug Number" ma:default="" ma:internalName="BugNumber" ma:readOnly="false">
      <xsd:simpleType>
        <xsd:restriction base="dms:Text"/>
      </xsd:simpleType>
    </xsd:element>
    <xsd:element name="CampaignTagsTaxHTField0" ma:index="16" nillable="true" ma:taxonomy="true" ma:internalName="CampaignTagsTaxHTField0" ma:taxonomyFieldName="CampaignTags" ma:displayName="Campaigns" ma:readOnly="false" ma:default="" ma:fieldId="{ca69c71e-a029-4733-aca1-cabc27411b08}" ma:taxonomyMulti="true" ma:sspId="8f79753a-75d3-41f5-8ca3-40b843941b4f" ma:termSetId="ca0e50d4-faa1-44ce-961e-bb1441c60e6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PClientViewer" ma:index="17" nillable="true" ma:displayName="Client Viewer" ma:default="" ma:internalName="TPClientViewer">
      <xsd:simpleType>
        <xsd:restriction base="dms:Text"/>
      </xsd:simpleType>
    </xsd:element>
    <xsd:element name="ClipArtFilename" ma:index="18" nillable="true" ma:displayName="Clip Art Name" ma:default="" ma:internalName="ClipArtFilename" ma:readOnly="false">
      <xsd:simpleType>
        <xsd:restriction base="dms:Text"/>
      </xsd:simpleType>
    </xsd:element>
    <xsd:element name="TPCommandLine" ma:index="19" nillable="true" ma:displayName="Command Line" ma:default="" ma:internalName="TPCommandLine">
      <xsd:simpleType>
        <xsd:restriction base="dms:Text"/>
      </xsd:simpleType>
    </xsd:element>
    <xsd:element name="TPComponent" ma:index="20" nillable="true" ma:displayName="Component" ma:default="" ma:internalName="TPComponent">
      <xsd:simpleType>
        <xsd:restriction base="dms:Text"/>
      </xsd:simpleType>
    </xsd:element>
    <xsd:element name="ContentItem" ma:index="21" nillable="true" ma:displayName="Content Item" ma:default="" ma:hidden="true" ma:internalName="ContentItem" ma:readOnly="false">
      <xsd:simpleType>
        <xsd:restriction base="dms:Unknown"/>
      </xsd:simpleType>
    </xsd:element>
    <xsd:element name="CrawlForDependencies" ma:index="23" nillable="true" ma:displayName="Crawl for Dependencies?" ma:default="true" ma:internalName="CrawlForDependencies" ma:readOnly="false">
      <xsd:simpleType>
        <xsd:restriction base="dms:Boolean"/>
      </xsd:simpleType>
    </xsd:element>
    <xsd:element name="CSXHash" ma:index="26" nillable="true" ma:displayName="CSX Hash" ma:default="" ma:indexed="true" ma:internalName="CSXHash" ma:readOnly="false">
      <xsd:simpleType>
        <xsd:restriction base="dms:Text"/>
      </xsd:simpleType>
    </xsd:element>
    <xsd:element name="CSXSubmissionMarket" ma:index="27" nillable="true" ma:displayName="CSX Submission Market" ma:default="" ma:list="{8D80075B-F8CE-48D6-9BD2-D195F7E115A9}" ma:internalName="CSXSubmissionMarket" ma:readOnly="false" ma:showField="MarketName" ma:web="2958f784-0ef9-4616-b22d-512a8cad1f0d">
      <xsd:simpleType>
        <xsd:restriction base="dms:Lookup"/>
      </xsd:simpleType>
    </xsd:element>
    <xsd:element name="CSXUpdate" ma:index="28" nillable="true" ma:displayName="CSX Updated?" ma:default="false" ma:internalName="CSXUpdate" ma:readOnly="false">
      <xsd:simpleType>
        <xsd:restriction base="dms:Boolean"/>
      </xsd:simpleType>
    </xsd:element>
    <xsd:element name="IntlLangReviewDate" ma:index="29" nillable="true" ma:displayName="Date to Complete Intl QA" ma:default="" ma:internalName="IntlLangReviewDate" ma:readOnly="false">
      <xsd:simpleType>
        <xsd:restriction base="dms:DateTime"/>
      </xsd:simpleType>
    </xsd:element>
    <xsd:element name="IsDeleted" ma:index="30" nillable="true" ma:displayName="Deleted?" ma:default="" ma:internalName="IsDeleted" ma:readOnly="false">
      <xsd:simpleType>
        <xsd:restriction base="dms:Boolean"/>
      </xsd:simpleType>
    </xsd:element>
    <xsd:element name="APDescription" ma:index="31" nillable="true" ma:displayName="Description" ma:default="" ma:internalName="APDescription" ma:readOnly="false">
      <xsd:simpleType>
        <xsd:restriction base="dms:Note"/>
      </xsd:simpleType>
    </xsd:element>
    <xsd:element name="DirectSourceMarket" ma:index="32" nillable="true" ma:displayName="Direct Source Market Group" ma:default="" ma:internalName="DirectSourceMarket" ma:readOnly="false">
      <xsd:simpleType>
        <xsd:restriction base="dms:Text"/>
      </xsd:simpleType>
    </xsd:element>
    <xsd:element name="Downloads" ma:index="33" nillable="true" ma:displayName="Downloads" ma:default="0" ma:hidden="true" ma:internalName="Downloads" ma:readOnly="false">
      <xsd:simpleType>
        <xsd:restriction base="dms:Unknown"/>
      </xsd:simpleType>
    </xsd:element>
    <xsd:element name="DSATActionTaken" ma:index="34" nillable="true" ma:displayName="DSAT Action Taken" ma:default="" ma:internalName="DSATActionTaken" ma:readOnly="false">
      <xsd:simpleType>
        <xsd:restriction base="dms:Choice">
          <xsd:enumeration value="Best Bets"/>
          <xsd:enumeration value="Expire"/>
          <xsd:enumeration value="Hide"/>
          <xsd:enumeration value="None"/>
        </xsd:restriction>
      </xsd:simpleType>
    </xsd:element>
    <xsd:element name="APEditor" ma:index="35" nillable="true" ma:displayName="Editor" ma:default="" ma:list="UserInfo" ma:internalName="APEditor" ma:readOnly="fals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ialStatus" ma:index="36" nillable="true" ma:displayName="Editorial Status" ma:default="" ma:internalName="EditorialStatus" ma:readOnly="false">
      <xsd:simpleType>
        <xsd:restriction base="dms:Unknown"/>
      </xsd:simpleType>
    </xsd:element>
    <xsd:element name="EditorialTags" ma:index="37" nillable="true" ma:displayName="Editorial Tags" ma:default="" ma:internalName="EditorialTags">
      <xsd:simpleType>
        <xsd:restriction base="dms:Unknown"/>
      </xsd:simpleType>
    </xsd:element>
    <xsd:element name="TPExecutable" ma:index="38" nillable="true" ma:displayName="Executable" ma:default="" ma:internalName="TPExecutable">
      <xsd:simpleType>
        <xsd:restriction base="dms:Text"/>
      </xsd:simpleType>
    </xsd:element>
    <xsd:element name="FeatureTagsTaxHTField0" ma:index="40" nillable="true" ma:taxonomy="true" ma:internalName="FeatureTagsTaxHTField0" ma:taxonomyFieldName="FeatureTags" ma:displayName="Features" ma:readOnly="false" ma:default="" ma:fieldId="{9327d1a0-1a14-4b12-a74c-0f320f972977}" ma:taxonomyMulti="true" ma:sspId="8f79753a-75d3-41f5-8ca3-40b843941b4f" ma:termSetId="f1ab6845-967d-4854-a0ba-4ec07f0f811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PFriendlyName" ma:index="41" nillable="true" ma:displayName="Friendly Name" ma:default="" ma:internalName="TPFriendlyName">
      <xsd:simpleType>
        <xsd:restriction base="dms:Text"/>
      </xsd:simpleType>
    </xsd:element>
    <xsd:element name="FriendlyTitle" ma:index="42" nillable="true" ma:displayName="Friendly Title" ma:default="" ma:description="Shorter title to be used when displaying search results" ma:internalName="FriendlyTitle" ma:readOnly="false">
      <xsd:simpleType>
        <xsd:restriction base="dms:Text"/>
      </xsd:simpleType>
    </xsd:element>
    <xsd:element name="PrimaryImageGen" ma:index="43" nillable="true" ma:displayName="Generate Images?" ma:default="true" ma:internalName="PrimaryImageGen">
      <xsd:simpleType>
        <xsd:restriction base="dms:Boolean"/>
      </xsd:simpleType>
    </xsd:element>
    <xsd:element name="HandoffToMSDN" ma:index="44" nillable="true" ma:displayName="Handoff To MSDN Date" ma:default="" ma:internalName="HandoffToMSDN" ma:readOnly="false">
      <xsd:simpleType>
        <xsd:restriction base="dms:DateTime"/>
      </xsd:simpleType>
    </xsd:element>
    <xsd:element name="InProjectListLookup" ma:index="45" nillable="true" ma:displayName="InProjectListLookup" ma:list="{1F044C38-11A0-4051-9DF8-A3AFA85E16DC}" ma:internalName="InProjectListLookup" ma:readOnly="true" ma:showField="InProjectList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PInstallLocation" ma:index="46" nillable="true" ma:displayName="Install Location" ma:default="" ma:internalName="TPInstallLocation">
      <xsd:simpleType>
        <xsd:restriction base="dms:Text"/>
      </xsd:simpleType>
    </xsd:element>
    <xsd:element name="InternalTagsTaxHTField0" ma:index="48" nillable="true" ma:taxonomy="true" ma:internalName="InternalTagsTaxHTField0" ma:taxonomyFieldName="InternalTags" ma:displayName="Internal Tags" ma:readOnly="false" ma:default="" ma:fieldId="{3b364bcb-a06e-4da1-8475-f5243c3236b2}" ma:taxonomyMulti="true" ma:sspId="8f79753a-75d3-41f5-8ca3-40b843941b4f" ma:termSetId="82b6639e-f7fc-4c18-ad2d-003a6e70776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ntlLangReview" ma:index="49" nillable="true" ma:displayName="Intl Lang QA Review Required?" ma:default="" ma:internalName="IntlLangReview" ma:readOnly="false">
      <xsd:simpleType>
        <xsd:restriction base="dms:Boolean"/>
      </xsd:simpleType>
    </xsd:element>
    <xsd:element name="IntlLangReviewer" ma:index="50" nillable="true" ma:displayName="Intl Lang QA Reviewer" ma:default="" ma:internalName="IntlLangReviewer" ma:readOnly="false">
      <xsd:simpleType>
        <xsd:restriction base="dms:Text"/>
      </xsd:simpleType>
    </xsd:element>
    <xsd:element name="MarketSpecific" ma:index="51" nillable="true" ma:displayName="Is Market Specific?" ma:default="" ma:internalName="MarketSpecific" ma:readOnly="false">
      <xsd:simpleType>
        <xsd:restriction base="dms:Boolean"/>
      </xsd:simpleType>
    </xsd:element>
    <xsd:element name="LastCompleteVersionLookup" ma:index="52" nillable="true" ma:displayName="Last Complete Version Lookup" ma:default="" ma:list="{1F044C38-11A0-4051-9DF8-A3AFA85E16DC}" ma:internalName="LastCompleteVersionLookup" ma:readOnly="true" ma:showField="LastCompleteVersion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HandOff" ma:index="53" nillable="true" ma:displayName="Last Hand-off" ma:default="" ma:internalName="LastHandOff" ma:readOnly="false">
      <xsd:simpleType>
        <xsd:restriction base="dms:DateTime"/>
      </xsd:simpleType>
    </xsd:element>
    <xsd:element name="LastModifiedDateTime" ma:index="54" nillable="true" ma:displayName="Last Modified Date" ma:default="" ma:internalName="LastModifiedDateTime" ma:readOnly="false">
      <xsd:simpleType>
        <xsd:restriction base="dms:DateTime"/>
      </xsd:simpleType>
    </xsd:element>
    <xsd:element name="LastPreviewErrorLookup" ma:index="55" nillable="true" ma:displayName="Last Preview Attempt Error" ma:default="" ma:list="{1F044C38-11A0-4051-9DF8-A3AFA85E16DC}" ma:internalName="LastPreviewErrorLookup" ma:readOnly="true" ma:showField="LastPreviewError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ResultLookup" ma:index="56" nillable="true" ma:displayName="Last Preview Attempt Result" ma:default="" ma:list="{1F044C38-11A0-4051-9DF8-A3AFA85E16DC}" ma:internalName="LastPreviewResultLookup" ma:readOnly="true" ma:showField="LastPreviewResult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AttemptDateLookup" ma:index="57" nillable="true" ma:displayName="Last Preview Attempted On" ma:default="" ma:list="{1F044C38-11A0-4051-9DF8-A3AFA85E16DC}" ma:internalName="LastPreviewAttemptDateLookup" ma:readOnly="true" ma:showField="LastPreviewAttemptDat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edByLookup" ma:index="58" nillable="true" ma:displayName="Last Previewed By" ma:default="" ma:list="{1F044C38-11A0-4051-9DF8-A3AFA85E16DC}" ma:internalName="LastPreviewedByLookup" ma:readOnly="true" ma:showField="LastPreviewedBy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TimeLookup" ma:index="59" nillable="true" ma:displayName="Last Previewed Date" ma:default="" ma:list="{1F044C38-11A0-4051-9DF8-A3AFA85E16DC}" ma:internalName="LastPreviewTimeLookup" ma:readOnly="true" ma:showField="LastPreviewTim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VersionLookup" ma:index="60" nillable="true" ma:displayName="Last Previewed Version" ma:default="" ma:list="{1F044C38-11A0-4051-9DF8-A3AFA85E16DC}" ma:internalName="LastPreviewVersionLookup" ma:readOnly="true" ma:showField="LastPreviewVersion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ErrorLookup" ma:index="61" nillable="true" ma:displayName="Last Publish Attempt Error" ma:default="" ma:list="{1F044C38-11A0-4051-9DF8-A3AFA85E16DC}" ma:internalName="LastPublishErrorLookup" ma:readOnly="true" ma:showField="LastPublishError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ResultLookup" ma:index="62" nillable="true" ma:displayName="Last Publish Attempt Result" ma:default="" ma:list="{1F044C38-11A0-4051-9DF8-A3AFA85E16DC}" ma:internalName="LastPublishResultLookup" ma:readOnly="true" ma:showField="LastPublishResult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AttemptDateLookup" ma:index="63" nillable="true" ma:displayName="Last Publish Attempted On" ma:default="" ma:list="{1F044C38-11A0-4051-9DF8-A3AFA85E16DC}" ma:internalName="LastPublishAttemptDateLookup" ma:readOnly="true" ma:showField="LastPublishAttemptDat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edByLookup" ma:index="64" nillable="true" ma:displayName="Last Published By" ma:default="" ma:list="{1F044C38-11A0-4051-9DF8-A3AFA85E16DC}" ma:internalName="LastPublishedByLookup" ma:readOnly="true" ma:showField="LastPublishedBy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TimeLookup" ma:index="65" nillable="true" ma:displayName="Last Published Date" ma:default="" ma:list="{1F044C38-11A0-4051-9DF8-A3AFA85E16DC}" ma:internalName="LastPublishTimeLookup" ma:readOnly="true" ma:showField="LastPublishTim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VersionLookup" ma:index="66" nillable="true" ma:displayName="Last Published Version" ma:default="" ma:list="{1F044C38-11A0-4051-9DF8-A3AFA85E16DC}" ma:internalName="LastPublishVersionLookup" ma:readOnly="true" ma:showField="LastPublishVersion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PLaunchHelpLinkType" ma:index="67" nillable="true" ma:displayName="Launch Help Link Type" ma:default="Template" ma:internalName="TPLaunchHelpLinkType">
      <xsd:simpleType>
        <xsd:restriction base="dms:Choice">
          <xsd:enumeration value="Template"/>
          <xsd:enumeration value="Training"/>
          <xsd:enumeration value="URL"/>
          <xsd:enumeration value="None"/>
        </xsd:restriction>
      </xsd:simpleType>
    </xsd:element>
    <xsd:element name="LegacyData" ma:index="68" nillable="true" ma:displayName="Legacy Data" ma:default="" ma:internalName="LegacyData" ma:readOnly="false">
      <xsd:simpleType>
        <xsd:restriction base="dms:Note"/>
      </xsd:simpleType>
    </xsd:element>
    <xsd:element name="TPLaunchHelpLink" ma:index="69" nillable="true" ma:displayName="Link to Launch Help Topic" ma:default="" ma:internalName="TPLaunchHelpLink">
      <xsd:simpleType>
        <xsd:restriction base="dms:Text"/>
      </xsd:simpleType>
    </xsd:element>
    <xsd:element name="LocComments" ma:index="70" nillable="true" ma:displayName="Loc Approval Comments" ma:default="" ma:internalName="LocComments" ma:readOnly="false">
      <xsd:simpleType>
        <xsd:restriction base="dms:Note"/>
      </xsd:simpleType>
    </xsd:element>
    <xsd:element name="LocLastLocAttemptVersionLookup" ma:index="71" nillable="true" ma:displayName="Loc Last Loc Attempt Version" ma:default="" ma:list="{AC64899A-88C0-4725-BCFC-902FA402DE74}" ma:internalName="LocLastLocAttemptVersionLookup" ma:readOnly="false" ma:showField="LastLocAttemptVersion" ma:web="2958f784-0ef9-4616-b22d-512a8cad1f0d">
      <xsd:simpleType>
        <xsd:restriction base="dms:Lookup"/>
      </xsd:simpleType>
    </xsd:element>
    <xsd:element name="LocLastLocAttemptVersionTypeLookup" ma:index="72" nillable="true" ma:displayName="Loc Last Loc Attempt Version Type" ma:default="" ma:list="{AC64899A-88C0-4725-BCFC-902FA402DE74}" ma:internalName="LocLastLocAttemptVersionTypeLookup" ma:readOnly="true" ma:showField="LastLocAttemptVersionType" ma:web="2958f784-0ef9-4616-b22d-512a8cad1f0d">
      <xsd:simpleType>
        <xsd:restriction base="dms:Lookup"/>
      </xsd:simpleType>
    </xsd:element>
    <xsd:element name="LocManualTestRequired" ma:index="73" nillable="true" ma:displayName="Loc Manual Test Required" ma:default="" ma:internalName="LocManualTestRequired" ma:readOnly="false">
      <xsd:simpleType>
        <xsd:restriction base="dms:Boolean"/>
      </xsd:simpleType>
    </xsd:element>
    <xsd:element name="LocMarketGroupTiers2" ma:index="74" nillable="true" ma:displayName="Loc Market Group Tiers" ma:internalName="LocMarketGroupTiers2" ma:readOnly="false">
      <xsd:simpleType>
        <xsd:restriction base="dms:Unknown"/>
      </xsd:simpleType>
    </xsd:element>
    <xsd:element name="LocNewPublishedVersionLookup" ma:index="75" nillable="true" ma:displayName="Loc New Published Version Lookup" ma:default="" ma:list="{AC64899A-88C0-4725-BCFC-902FA402DE74}" ma:internalName="LocNewPublishedVersionLookup" ma:readOnly="true" ma:showField="NewPublishedVersion" ma:web="2958f784-0ef9-4616-b22d-512a8cad1f0d">
      <xsd:simpleType>
        <xsd:restriction base="dms:Lookup"/>
      </xsd:simpleType>
    </xsd:element>
    <xsd:element name="LocOverallHandbackStatusLookup" ma:index="76" nillable="true" ma:displayName="Loc Overall Handback Status" ma:default="" ma:list="{AC64899A-88C0-4725-BCFC-902FA402DE74}" ma:internalName="LocOverallHandbackStatusLookup" ma:readOnly="true" ma:showField="OverallHandbackStatus" ma:web="2958f784-0ef9-4616-b22d-512a8cad1f0d">
      <xsd:simpleType>
        <xsd:restriction base="dms:Lookup"/>
      </xsd:simpleType>
    </xsd:element>
    <xsd:element name="LocOverallLocStatusLookup" ma:index="77" nillable="true" ma:displayName="Loc Overall Localize Status" ma:default="" ma:list="{AC64899A-88C0-4725-BCFC-902FA402DE74}" ma:internalName="LocOverallLocStatusLookup" ma:readOnly="true" ma:showField="OverallLocStatus" ma:web="2958f784-0ef9-4616-b22d-512a8cad1f0d">
      <xsd:simpleType>
        <xsd:restriction base="dms:Lookup"/>
      </xsd:simpleType>
    </xsd:element>
    <xsd:element name="LocOverallPreviewStatusLookup" ma:index="78" nillable="true" ma:displayName="Loc Overall Preview Status" ma:default="" ma:list="{AC64899A-88C0-4725-BCFC-902FA402DE74}" ma:internalName="LocOverallPreviewStatusLookup" ma:readOnly="true" ma:showField="OverallPreviewStatus" ma:web="2958f784-0ef9-4616-b22d-512a8cad1f0d">
      <xsd:simpleType>
        <xsd:restriction base="dms:Lookup"/>
      </xsd:simpleType>
    </xsd:element>
    <xsd:element name="LocOverallPublishStatusLookup" ma:index="79" nillable="true" ma:displayName="Loc Overall Publish Status" ma:default="" ma:list="{AC64899A-88C0-4725-BCFC-902FA402DE74}" ma:internalName="LocOverallPublishStatusLookup" ma:readOnly="true" ma:showField="OverallPublishStatus" ma:web="2958f784-0ef9-4616-b22d-512a8cad1f0d">
      <xsd:simpleType>
        <xsd:restriction base="dms:Lookup"/>
      </xsd:simpleType>
    </xsd:element>
    <xsd:element name="IntlLocPriority" ma:index="80" nillable="true" ma:displayName="Loc Priority" ma:default="" ma:internalName="IntlLocPriority" ma:readOnly="false">
      <xsd:simpleType>
        <xsd:restriction base="dms:Unknown"/>
      </xsd:simpleType>
    </xsd:element>
    <xsd:element name="LocProcessedForHandoffsLookup" ma:index="81" nillable="true" ma:displayName="Loc Processed For Handoffs" ma:default="" ma:list="{AC64899A-88C0-4725-BCFC-902FA402DE74}" ma:internalName="LocProcessedForHandoffsLookup" ma:readOnly="true" ma:showField="ProcessedForHandoffs" ma:web="2958f784-0ef9-4616-b22d-512a8cad1f0d">
      <xsd:simpleType>
        <xsd:restriction base="dms:Lookup"/>
      </xsd:simpleType>
    </xsd:element>
    <xsd:element name="LocProcessedForMarketsLookup" ma:index="82" nillable="true" ma:displayName="Loc Processed For Markets" ma:default="" ma:list="{AC64899A-88C0-4725-BCFC-902FA402DE74}" ma:internalName="LocProcessedForMarketsLookup" ma:readOnly="true" ma:showField="ProcessedForMarkets" ma:web="2958f784-0ef9-4616-b22d-512a8cad1f0d">
      <xsd:simpleType>
        <xsd:restriction base="dms:Lookup"/>
      </xsd:simpleType>
    </xsd:element>
    <xsd:element name="LocPublishedDependentAssetsLookup" ma:index="83" nillable="true" ma:displayName="Loc Published Dependent Assets" ma:default="" ma:list="{AC64899A-88C0-4725-BCFC-902FA402DE74}" ma:internalName="LocPublishedDependentAssetsLookup" ma:readOnly="true" ma:showField="PublishedDependentAssets" ma:web="2958f784-0ef9-4616-b22d-512a8cad1f0d">
      <xsd:simpleType>
        <xsd:restriction base="dms:Lookup"/>
      </xsd:simpleType>
    </xsd:element>
    <xsd:element name="LocPublishedLinkedAssetsLookup" ma:index="84" nillable="true" ma:displayName="Loc Published Linked Assets" ma:default="" ma:list="{AC64899A-88C0-4725-BCFC-902FA402DE74}" ma:internalName="LocPublishedLinkedAssetsLookup" ma:readOnly="true" ma:showField="PublishedLinkedAssets" ma:web="2958f784-0ef9-4616-b22d-512a8cad1f0d">
      <xsd:simpleType>
        <xsd:restriction base="dms:Lookup"/>
      </xsd:simpleType>
    </xsd:element>
    <xsd:element name="LocRecommendedHandoff" ma:index="85" nillable="true" ma:displayName="Loc Recommended Handoff" ma:default="" ma:indexed="true" ma:internalName="LocRecommendedHandoff" ma:readOnly="false">
      <xsd:simpleType>
        <xsd:restriction base="dms:Text"/>
      </xsd:simpleType>
    </xsd:element>
    <xsd:element name="LocalizationTagsTaxHTField0" ma:index="87" nillable="true" ma:taxonomy="true" ma:internalName="LocalizationTagsTaxHTField0" ma:taxonomyFieldName="LocalizationTags" ma:displayName="Localization Tags" ma:readOnly="false" ma:default="" ma:fieldId="{251ee2d3-c117-4524-b3f1-1010c3cab2a3}" ma:taxonomyMulti="true" ma:sspId="8f79753a-75d3-41f5-8ca3-40b843941b4f" ma:termSetId="5b7703a5-8e8b-4b58-8b31-1cea35331da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achineTranslated" ma:index="88" nillable="true" ma:displayName="Machine Translated" ma:default="" ma:internalName="MachineTranslated" ma:readOnly="false">
      <xsd:simpleType>
        <xsd:restriction base="dms:Boolean"/>
      </xsd:simpleType>
    </xsd:element>
    <xsd:element name="Manager" ma:index="89" nillable="true" ma:displayName="Manager" ma:hidden="true" ma:internalName="Manager" ma:readOnly="false">
      <xsd:simpleType>
        <xsd:restriction base="dms:Text"/>
      </xsd:simpleType>
    </xsd:element>
    <xsd:element name="Markets" ma:index="90" nillable="true" ma:displayName="Markets" ma:default="" ma:description="Leave blank to show in all markets" ma:list="{8D80075B-F8CE-48D6-9BD2-D195F7E115A9}" ma:internalName="Markets" ma:readOnly="false" ma:showField="MarketName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ilestone" ma:index="91" nillable="true" ma:displayName="Milestone" ma:default="" ma:internalName="Milestone" ma:readOnly="false">
      <xsd:simpleType>
        <xsd:restriction base="dms:Unknown"/>
      </xsd:simpleType>
    </xsd:element>
    <xsd:element name="TPNamespace" ma:index="94" nillable="true" ma:displayName="Namespace" ma:default="" ma:internalName="TPNamespace">
      <xsd:simpleType>
        <xsd:restriction base="dms:Text"/>
      </xsd:simpleType>
    </xsd:element>
    <xsd:element name="NumericId" ma:index="95" nillable="true" ma:displayName="Numeric ID" ma:default="" ma:indexed="true" ma:internalName="NumericId" ma:readOnly="false">
      <xsd:simpleType>
        <xsd:restriction base="dms:Number"/>
      </xsd:simpleType>
    </xsd:element>
    <xsd:element name="NumOfRatingsLookup" ma:index="96" nillable="true" ma:displayName="NumOfRatings" ma:default="" ma:list="{1F044C38-11A0-4051-9DF8-A3AFA85E16DC}" ma:internalName="NumOfRatingsLookup" ma:readOnly="true" ma:showField="NumOfRatings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OOCacheId" ma:index="97" nillable="true" ma:displayName="OOCacheId" ma:internalName="OOCacheId" ma:readOnly="false">
      <xsd:simpleType>
        <xsd:restriction base="dms:Text"/>
      </xsd:simpleType>
    </xsd:element>
    <xsd:element name="OpenTemplate" ma:index="98" nillable="true" ma:displayName="Open Template" ma:default="true" ma:internalName="OpenTemplate">
      <xsd:simpleType>
        <xsd:restriction base="dms:Boolean"/>
      </xsd:simpleType>
    </xsd:element>
    <xsd:element name="OriginAsset" ma:index="99" nillable="true" ma:displayName="Origin Asset" ma:default="" ma:internalName="OriginAsset" ma:readOnly="false">
      <xsd:simpleType>
        <xsd:restriction base="dms:Text"/>
      </xsd:simpleType>
    </xsd:element>
    <xsd:element name="OriginalRelease" ma:index="100" nillable="true" ma:displayName="Original Release" ma:default="15" ma:internalName="OriginalRelease" ma:readOnly="false">
      <xsd:simpleType>
        <xsd:restriction base="dms:Choice">
          <xsd:enumeration value="14"/>
          <xsd:enumeration value="15"/>
          <xsd:enumeration value="16"/>
        </xsd:restriction>
      </xsd:simpleType>
    </xsd:element>
    <xsd:element name="OriginalSourceMarket" ma:index="101" nillable="true" ma:displayName="Original Source Market Group" ma:default="" ma:internalName="OriginalSourceMarket" ma:readOnly="false">
      <xsd:simpleType>
        <xsd:restriction base="dms:Text"/>
      </xsd:simpleType>
    </xsd:element>
    <xsd:element name="OutputCachingOn" ma:index="102" nillable="true" ma:displayName="Output Caching" ma:default="true" ma:hidden="true" ma:internalName="OutputCachingOn" ma:readOnly="false">
      <xsd:simpleType>
        <xsd:restriction base="dms:Boolean"/>
      </xsd:simpleType>
    </xsd:element>
    <xsd:element name="ParentAssetId" ma:index="103" nillable="true" ma:displayName="Parent Asset Id" ma:default="" ma:internalName="ParentAssetId" ma:readOnly="false">
      <xsd:simpleType>
        <xsd:restriction base="dms:Text"/>
      </xsd:simpleType>
    </xsd:element>
    <xsd:element name="PlannedPubDate" ma:index="104" nillable="true" ma:displayName="Planned Publish Date" ma:default="" ma:indexed="true" ma:internalName="PlannedPubDate" ma:readOnly="false">
      <xsd:simpleType>
        <xsd:restriction base="dms:DateTime"/>
      </xsd:simpleType>
    </xsd:element>
    <xsd:element name="PolicheckWords" ma:index="105" nillable="true" ma:displayName="Policheck Words" ma:default="" ma:internalName="PolicheckWords" ma:readOnly="false">
      <xsd:simpleType>
        <xsd:restriction base="dms:Text"/>
      </xsd:simpleType>
    </xsd:element>
    <xsd:element name="BusinessGroup" ma:index="106" nillable="true" ma:displayName="Product Division Owner" ma:default="" ma:internalName="BusinessGroup" ma:readOnly="false">
      <xsd:simpleType>
        <xsd:restriction base="dms:Unknown"/>
      </xsd:simpleType>
    </xsd:element>
    <xsd:element name="UAProjectedTotalWords" ma:index="107" nillable="true" ma:displayName="Projected Word Count" ma:default="" ma:internalName="UAProjectedTotalWords" ma:readOnly="false">
      <xsd:simpleType>
        <xsd:restriction base="dms:Unknown"/>
      </xsd:simpleType>
    </xsd:element>
    <xsd:element name="Provider" ma:index="108" nillable="true" ma:displayName="Provider" ma:default="" ma:internalName="Provider" ma:readOnly="false">
      <xsd:simpleType>
        <xsd:restriction base="dms:Unknown"/>
      </xsd:simpleType>
    </xsd:element>
    <xsd:element name="Providers" ma:index="109" nillable="true" ma:displayName="Providers" ma:default="" ma:internalName="Providers">
      <xsd:simpleType>
        <xsd:restriction base="dms:Unknown"/>
      </xsd:simpleType>
    </xsd:element>
    <xsd:element name="PublishStatusLookup" ma:index="110" nillable="true" ma:displayName="Publish Status" ma:default="" ma:list="{1F044C38-11A0-4051-9DF8-A3AFA85E16DC}" ma:internalName="PublishStatusLookup" ma:readOnly="false" ma:showField="PublishStatus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PublishTargets" ma:index="111" nillable="true" ma:displayName="Publish Target" ma:default="OfficeOnlineVNext" ma:internalName="PublishTargets" ma:readOnly="false">
      <xsd:simpleType>
        <xsd:restriction base="dms:Unknown"/>
      </xsd:simpleType>
    </xsd:element>
    <xsd:element name="RecommendationsModifier" ma:index="112" nillable="true" ma:displayName="Recommendations Modifier" ma:default="" ma:internalName="RecommendationsModifier" ma:readOnly="false">
      <xsd:simpleType>
        <xsd:restriction base="dms:Number"/>
      </xsd:simpleType>
    </xsd:element>
    <xsd:element name="ArtSampleDocs" ma:index="113" nillable="true" ma:displayName="Sample Docs" ma:default="" ma:hidden="true" ma:internalName="ArtSampleDocs" ma:readOnly="false">
      <xsd:simpleType>
        <xsd:restriction base="dms:Text"/>
      </xsd:simpleType>
    </xsd:element>
    <xsd:element name="ScenarioTagsTaxHTField0" ma:index="115" nillable="true" ma:taxonomy="true" ma:internalName="ScenarioTagsTaxHTField0" ma:taxonomyFieldName="ScenarioTags" ma:displayName="Scenarios" ma:readOnly="false" ma:default="" ma:fieldId="{654e2ea7-8c43-4b3c-9db4-bd71f7cfe4f4}" ma:taxonomyMulti="true" ma:sspId="8f79753a-75d3-41f5-8ca3-40b843941b4f" ma:termSetId="4b7d5f16-e2f2-4fc0-bab3-6e8b931e57d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ShowIn" ma:index="117" nillable="true" ma:displayName="Show In" ma:default="Show everywhere" ma:internalName="ShowIn" ma:readOnly="false">
      <xsd:simpleType>
        <xsd:restriction base="dms:Choice">
          <xsd:enumeration value="Hide on web"/>
          <xsd:enumeration value="On Web no search"/>
          <xsd:enumeration value="Show everywhere"/>
          <xsd:enumeration value="Special use only"/>
        </xsd:restriction>
      </xsd:simpleType>
    </xsd:element>
    <xsd:element name="SourceTitle" ma:index="118" nillable="true" ma:displayName="Source Title" ma:default="" ma:indexed="true" ma:internalName="SourceTitle" ma:readOnly="false">
      <xsd:simpleType>
        <xsd:restriction base="dms:Text"/>
      </xsd:simpleType>
    </xsd:element>
    <xsd:element name="CSXSubmissionDate" ma:index="119" nillable="true" ma:displayName="Submission Date" ma:default="" ma:internalName="CSXSubmissionDate" ma:readOnly="false">
      <xsd:simpleType>
        <xsd:restriction base="dms:DateTime"/>
      </xsd:simpleType>
    </xsd:element>
    <xsd:element name="SubmitterId" ma:index="120" nillable="true" ma:displayName="Submitter ID" ma:default="" ma:internalName="SubmitterId" ma:readOnly="false">
      <xsd:simpleType>
        <xsd:restriction base="dms:Text"/>
      </xsd:simpleType>
    </xsd:element>
    <xsd:element name="TaxCatchAll" ma:index="121" nillable="true" ma:displayName="Taxonomy Catch All Column" ma:hidden="true" ma:list="{33f01220-6030-4880-975f-b9ea0de09f53}" ma:internalName="TaxCatchAll" ma:showField="CatchAllData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22" nillable="true" ma:displayName="Taxonomy Catch All Column1" ma:hidden="true" ma:list="{33f01220-6030-4880-975f-b9ea0de09f53}" ma:internalName="TaxCatchAllLabel" ma:readOnly="true" ma:showField="CatchAllDataLabel" ma:web="2958f784-0ef9-4616-b22d-512a8cad1f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emplateStatus" ma:index="123" nillable="true" ma:displayName="Template Status" ma:default="" ma:internalName="TemplateStatus">
      <xsd:simpleType>
        <xsd:restriction base="dms:Unknown"/>
      </xsd:simpleType>
    </xsd:element>
    <xsd:element name="TemplateTemplateType" ma:index="124" nillable="true" ma:displayName="Template Type" ma:default="" ma:internalName="TemplateTemplateType">
      <xsd:simpleType>
        <xsd:restriction base="dms:Unknown"/>
      </xsd:simpleType>
    </xsd:element>
    <xsd:element name="ThumbnailAssetId" ma:index="125" nillable="true" ma:displayName="Thumbnail Image Asset" ma:default="" ma:internalName="ThumbnailAssetId" ma:readOnly="false">
      <xsd:simpleType>
        <xsd:restriction base="dms:Text"/>
      </xsd:simpleType>
    </xsd:element>
    <xsd:element name="TimesCloned" ma:index="126" nillable="true" ma:displayName="Times Cloned" ma:default="" ma:internalName="TimesCloned" ma:readOnly="false">
      <xsd:simpleType>
        <xsd:restriction base="dms:Number"/>
      </xsd:simpleType>
    </xsd:element>
    <xsd:element name="TrustLevel" ma:index="128" nillable="true" ma:displayName="Trust Level" ma:default="1 Microsoft Managed Content" ma:internalName="TrustLevel" ma:readOnly="false">
      <xsd:simpleType>
        <xsd:restriction base="dms:Unknown"/>
      </xsd:simpleType>
    </xsd:element>
    <xsd:element name="UALocComments" ma:index="129" nillable="true" ma:displayName="UA Loc Comments" ma:default="" ma:internalName="UALocComments" ma:readOnly="false">
      <xsd:simpleType>
        <xsd:restriction base="dms:Note"/>
      </xsd:simpleType>
    </xsd:element>
    <xsd:element name="UALocRecommendation" ma:index="130" nillable="true" ma:displayName="UA Loc Recommendation" ma:default="Localize" ma:internalName="UALocRecommendation" ma:readOnly="false">
      <xsd:simpleType>
        <xsd:restriction base="dms:Choice">
          <xsd:enumeration value="Localize"/>
          <xsd:enumeration value="Never Localize"/>
          <xsd:enumeration value="Priority Localize"/>
        </xsd:restriction>
      </xsd:simpleType>
    </xsd:element>
    <xsd:element name="UANotes" ma:index="131" nillable="true" ma:displayName="UA Notes" ma:default="" ma:internalName="UANotes" ma:readOnly="false">
      <xsd:simpleType>
        <xsd:restriction base="dms:Note"/>
      </xsd:simpleType>
    </xsd:element>
    <xsd:element name="TPAppVersion" ma:index="132" nillable="true" ma:displayName="Version" ma:default="" ma:internalName="TPAppVersion">
      <xsd:simpleType>
        <xsd:restriction base="dms:Text"/>
      </xsd:simpleType>
    </xsd:element>
    <xsd:element name="VoteCount" ma:index="133" nillable="true" ma:displayName="Vote Count" ma:default="" ma:internalName="VoteCount" ma:readOnly="fals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5acd76-e9f3-4601-9d69-91f53ab96ae6" elementFormDefault="qualified">
    <xsd:import namespace="http://schemas.microsoft.com/office/2006/documentManagement/types"/>
    <xsd:import namespace="http://schemas.microsoft.com/office/infopath/2007/PartnerControls"/>
    <xsd:element name="Description0" ma:index="134" nillable="true" ma:displayName="Description" ma:internalName="Description0">
      <xsd:simpleType>
        <xsd:restriction base="dms:Note"/>
      </xsd:simpleType>
    </xsd:element>
    <xsd:element name="Component" ma:index="135" nillable="true" ma:displayName="Component" ma:internalName="Component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2" ma:displayName="Content Type"/>
        <xsd:element ref="dc:title" minOccurs="0" maxOccurs="1" ma:index="127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AssetEditForm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1BAC6CF-04BD-4832-B6F8-410ED8586E7D}">
  <ds:schemaRefs>
    <ds:schemaRef ds:uri="fb5acd76-e9f3-4601-9d69-91f53ab96ae6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terms/"/>
    <ds:schemaRef ds:uri="http://schemas.openxmlformats.org/package/2006/metadata/core-properties"/>
    <ds:schemaRef ds:uri="2958f784-0ef9-4616-b22d-512a8cad1f0d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CA80037-1BEB-444F-8CC4-5230ACA0F1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8f784-0ef9-4616-b22d-512a8cad1f0d"/>
    <ds:schemaRef ds:uri="fb5acd76-e9f3-4601-9d69-91f53ab96a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23B681-6747-42E9-BBF3-BC7EC073FF1F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35C67F1-8361-49AF-9B3C-DBBC8652CD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8</vt:i4>
      </vt:variant>
    </vt:vector>
  </HeadingPairs>
  <TitlesOfParts>
    <vt:vector size="12" baseType="lpstr">
      <vt:lpstr>Panel</vt:lpstr>
      <vt:lpstr>I91c</vt:lpstr>
      <vt:lpstr>I9B1a</vt:lpstr>
      <vt:lpstr>Cálculos</vt:lpstr>
      <vt:lpstr>Cálculos!ActivosTotales</vt:lpstr>
      <vt:lpstr>Cálculos!Área_de_impresión</vt:lpstr>
      <vt:lpstr>Panel!Área_de_impresión</vt:lpstr>
      <vt:lpstr>Cálculos!PasivosTotales</vt:lpstr>
      <vt:lpstr>PasivosTotales</vt:lpstr>
      <vt:lpstr>Cálculos!PatrimonioNeto</vt:lpstr>
      <vt:lpstr>TopeI91c</vt:lpstr>
      <vt:lpstr>TopeI9B1a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2012-05-23T06:00:30Z</dcterms:created>
  <dcterms:modified xsi:type="dcterms:W3CDTF">2026-06-10T07:53:39Z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13686700</vt:r8>
  </property>
  <property fmtid="{D5CDD505-2E9C-101B-9397-08002B2CF9AE}" pid="3" name="HiddenCategoryTags">
    <vt:lpwstr/>
  </property>
  <property fmtid="{D5CDD505-2E9C-101B-9397-08002B2CF9AE}" pid="4" name="InternalTags">
    <vt:lpwstr/>
  </property>
  <property fmtid="{D5CDD505-2E9C-101B-9397-08002B2CF9AE}" pid="5" name="ContentTypeId">
    <vt:lpwstr>0x010100DE95A0C693CEB341887D38A4A2B58B45040072C752107C5A7B47AA91A1EE638E6F1F</vt:lpwstr>
  </property>
  <property fmtid="{D5CDD505-2E9C-101B-9397-08002B2CF9AE}" pid="6" name="LocalizationTags">
    <vt:lpwstr/>
  </property>
  <property fmtid="{D5CDD505-2E9C-101B-9397-08002B2CF9AE}" pid="7" name="FeatureTags">
    <vt:lpwstr/>
  </property>
  <property fmtid="{D5CDD505-2E9C-101B-9397-08002B2CF9AE}" pid="8" name="ImageGenStatus">
    <vt:i4>0</vt:i4>
  </property>
  <property fmtid="{D5CDD505-2E9C-101B-9397-08002B2CF9AE}" pid="9" name="CategoryTags">
    <vt:lpwstr/>
  </property>
  <property fmtid="{D5CDD505-2E9C-101B-9397-08002B2CF9AE}" pid="10" name="Applications">
    <vt:lpwstr/>
  </property>
  <property fmtid="{D5CDD505-2E9C-101B-9397-08002B2CF9AE}" pid="11" name="CampaignTags">
    <vt:lpwstr/>
  </property>
  <property fmtid="{D5CDD505-2E9C-101B-9397-08002B2CF9AE}" pid="12" name="ScenarioTags">
    <vt:lpwstr/>
  </property>
</Properties>
</file>